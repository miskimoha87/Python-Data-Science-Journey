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miski\Desktop\excel-hotel_analaysis 11\"/>
    </mc:Choice>
  </mc:AlternateContent>
  <xr:revisionPtr revIDLastSave="0" documentId="13_ncr:1_{9E4F5D41-2829-4D5A-B639-8B0DB92178F0}" xr6:coauthVersionLast="36" xr6:coauthVersionMax="36" xr10:uidLastSave="{00000000-0000-0000-0000-000000000000}"/>
  <bookViews>
    <workbookView xWindow="0" yWindow="0" windowWidth="15200" windowHeight="6230" xr2:uid="{BB4DC44A-DA47-4EE7-8115-0804329F657D}"/>
  </bookViews>
  <sheets>
    <sheet name="Raw data" sheetId="1" r:id="rId1"/>
    <sheet name="Clean_Data" sheetId="14" r:id="rId2"/>
    <sheet name="Analysis" sheetId="3" r:id="rId3"/>
    <sheet name="Pivot_table" sheetId="16" r:id="rId4"/>
    <sheet name="Dashboard 1" sheetId="7" r:id="rId5"/>
    <sheet name=" Dashboard 2" sheetId="10" r:id="rId6"/>
    <sheet name="Finding" sheetId="9" r:id="rId7"/>
  </sheets>
  <definedNames>
    <definedName name="_xlnm._FilterDatabase" localSheetId="0" hidden="1">'Raw data'!$A$1:$G$1</definedName>
    <definedName name="Slicer_Booking_Status1">#N/A</definedName>
    <definedName name="Slicer_Customer_Type1">#N/A</definedName>
    <definedName name="Slicer_Room_Typ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7" i="3" l="1"/>
  <c r="J16" i="3"/>
  <c r="J15" i="3"/>
  <c r="B25" i="3"/>
  <c r="B24" i="3"/>
  <c r="B23" i="3"/>
  <c r="B21" i="3"/>
  <c r="B20" i="3"/>
  <c r="B19" i="3"/>
  <c r="B18" i="3"/>
  <c r="B17" i="3"/>
  <c r="B16" i="3"/>
  <c r="B15" i="3"/>
  <c r="B14" i="3"/>
  <c r="A303" i="1"/>
  <c r="F14" i="3" l="1"/>
  <c r="F15" i="3"/>
  <c r="F16" i="3"/>
  <c r="F17" i="3"/>
  <c r="B13" i="3"/>
</calcChain>
</file>

<file path=xl/sharedStrings.xml><?xml version="1.0" encoding="utf-8"?>
<sst xmlns="http://schemas.openxmlformats.org/spreadsheetml/2006/main" count="2480" uniqueCount="393">
  <si>
    <t>Booking_ID</t>
  </si>
  <si>
    <t>Booking_Date</t>
  </si>
  <si>
    <t>Room_Type</t>
  </si>
  <si>
    <t>Customer_Type</t>
  </si>
  <si>
    <t>Nights</t>
  </si>
  <si>
    <t>Room_Rate</t>
  </si>
  <si>
    <t>Booking_Status</t>
  </si>
  <si>
    <t>BKG00073</t>
  </si>
  <si>
    <t>Standard</t>
  </si>
  <si>
    <t>New</t>
  </si>
  <si>
    <t>Completed</t>
  </si>
  <si>
    <t>Deluxe</t>
  </si>
  <si>
    <t>BKG00016</t>
  </si>
  <si>
    <t>Confirmed</t>
  </si>
  <si>
    <t>BKG00086</t>
  </si>
  <si>
    <t>Corporate</t>
  </si>
  <si>
    <t>BKG00161</t>
  </si>
  <si>
    <t>BKG00080</t>
  </si>
  <si>
    <t>Suite</t>
  </si>
  <si>
    <t>Cancelled</t>
  </si>
  <si>
    <t>BKG00065</t>
  </si>
  <si>
    <t>BKG00154</t>
  </si>
  <si>
    <t>BKG00184</t>
  </si>
  <si>
    <t>Returning</t>
  </si>
  <si>
    <t>BKG00040</t>
  </si>
  <si>
    <t>BKG00151</t>
  </si>
  <si>
    <t>BKG00047</t>
  </si>
  <si>
    <t>BKG00225</t>
  </si>
  <si>
    <t>BKG00198</t>
  </si>
  <si>
    <t>No-Show</t>
  </si>
  <si>
    <t>BKG00082</t>
  </si>
  <si>
    <t>BKG00139</t>
  </si>
  <si>
    <t>BKG00217</t>
  </si>
  <si>
    <t>BKG00212</t>
  </si>
  <si>
    <t>BKG00271</t>
  </si>
  <si>
    <t>BKG00041</t>
  </si>
  <si>
    <t>BKG00252</t>
  </si>
  <si>
    <t>BKG00076</t>
  </si>
  <si>
    <t>BKG00185</t>
  </si>
  <si>
    <t>BKG00160</t>
  </si>
  <si>
    <t>BKG00240</t>
  </si>
  <si>
    <t>BKG00164</t>
  </si>
  <si>
    <t>BKG00017</t>
  </si>
  <si>
    <t>BKG00008</t>
  </si>
  <si>
    <t>Family</t>
  </si>
  <si>
    <t>BKG00062</t>
  </si>
  <si>
    <t>BKG00054</t>
  </si>
  <si>
    <t>NULL</t>
  </si>
  <si>
    <t>BKG00006</t>
  </si>
  <si>
    <t>BKG00083</t>
  </si>
  <si>
    <t>BKG00214</t>
  </si>
  <si>
    <t>BKG00029</t>
  </si>
  <si>
    <t>BKG00258</t>
  </si>
  <si>
    <t>BKG00270</t>
  </si>
  <si>
    <t>BKG00042</t>
  </si>
  <si>
    <t>BKG00135</t>
  </si>
  <si>
    <t>BKG00182</t>
  </si>
  <si>
    <t>BKG00025</t>
  </si>
  <si>
    <t>BKG00002</t>
  </si>
  <si>
    <t>BKG00059</t>
  </si>
  <si>
    <t>BKG00030</t>
  </si>
  <si>
    <t>BKG00058</t>
  </si>
  <si>
    <t>RETURNING</t>
  </si>
  <si>
    <t>BKG00254</t>
  </si>
  <si>
    <t>BKG00099</t>
  </si>
  <si>
    <t>BKG00053</t>
  </si>
  <si>
    <t>BKG00179</t>
  </si>
  <si>
    <t>BKG00051</t>
  </si>
  <si>
    <t>BKG00117</t>
  </si>
  <si>
    <t>N/A</t>
  </si>
  <si>
    <t>BKG00105</t>
  </si>
  <si>
    <t>BKG00231</t>
  </si>
  <si>
    <t>BKG00260</t>
  </si>
  <si>
    <t>BKG00141</t>
  </si>
  <si>
    <t>BKG00038</t>
  </si>
  <si>
    <t>BKG00149</t>
  </si>
  <si>
    <t>BKG00199</t>
  </si>
  <si>
    <t>BKG00238</t>
  </si>
  <si>
    <t>BKG00226</t>
  </si>
  <si>
    <t>BKG00187</t>
  </si>
  <si>
    <t>BKG00009</t>
  </si>
  <si>
    <t>BKG00195</t>
  </si>
  <si>
    <t>BKG00137</t>
  </si>
  <si>
    <t>BKG00014</t>
  </si>
  <si>
    <t>BKG00275</t>
  </si>
  <si>
    <t>BKG00233</t>
  </si>
  <si>
    <t>BKG00128</t>
  </si>
  <si>
    <t>BKG00072</t>
  </si>
  <si>
    <t>BKG00138</t>
  </si>
  <si>
    <t>confirmed</t>
  </si>
  <si>
    <t>BKG00142</t>
  </si>
  <si>
    <t>BKG00071</t>
  </si>
  <si>
    <t>BKG00004</t>
  </si>
  <si>
    <t>BKG00147</t>
  </si>
  <si>
    <t>BKG00107</t>
  </si>
  <si>
    <t>completed</t>
  </si>
  <si>
    <t>BKG00177</t>
  </si>
  <si>
    <t>BKG00159</t>
  </si>
  <si>
    <t>BKG00262</t>
  </si>
  <si>
    <t>-</t>
  </si>
  <si>
    <t>BKG00155</t>
  </si>
  <si>
    <t>BKG00104</t>
  </si>
  <si>
    <t>BKG00236</t>
  </si>
  <si>
    <t>BKG00120</t>
  </si>
  <si>
    <t>BKG00001</t>
  </si>
  <si>
    <t>BKG00088</t>
  </si>
  <si>
    <t>BKG00276</t>
  </si>
  <si>
    <t>BKG00063</t>
  </si>
  <si>
    <t>BKG00165</t>
  </si>
  <si>
    <t>BKG00037</t>
  </si>
  <si>
    <t>BKG00078</t>
  </si>
  <si>
    <t>BKG00221</t>
  </si>
  <si>
    <t>BKG00265</t>
  </si>
  <si>
    <t>standard</t>
  </si>
  <si>
    <t>BKG00075</t>
  </si>
  <si>
    <t>BKG00067</t>
  </si>
  <si>
    <t>BKG00170</t>
  </si>
  <si>
    <t>BKG00118</t>
  </si>
  <si>
    <t>BKG00060</t>
  </si>
  <si>
    <t>BKG00257</t>
  </si>
  <si>
    <t>BKG00010</t>
  </si>
  <si>
    <t>BKG00230</t>
  </si>
  <si>
    <t>BKG00189</t>
  </si>
  <si>
    <t>BKG00228</t>
  </si>
  <si>
    <t>BKG00272</t>
  </si>
  <si>
    <t>BKG00253</t>
  </si>
  <si>
    <t>BKG00229</t>
  </si>
  <si>
    <t>BKG00005</t>
  </si>
  <si>
    <t>BKG00084</t>
  </si>
  <si>
    <t>BKG00131</t>
  </si>
  <si>
    <t>BKG00167</t>
  </si>
  <si>
    <t>BKG00178</t>
  </si>
  <si>
    <t>BKG00133</t>
  </si>
  <si>
    <t>BKG00103</t>
  </si>
  <si>
    <t>BKG00119</t>
  </si>
  <si>
    <t>BKG00019</t>
  </si>
  <si>
    <t>BKG00115</t>
  </si>
  <si>
    <t>BKG00091</t>
  </si>
  <si>
    <t>BKG00222</t>
  </si>
  <si>
    <t>BKG00190</t>
  </si>
  <si>
    <t>BKG00210</t>
  </si>
  <si>
    <t>BKG00153</t>
  </si>
  <si>
    <t>BKG00171</t>
  </si>
  <si>
    <t>BKG00186</t>
  </si>
  <si>
    <t>BKG00202</t>
  </si>
  <si>
    <t>BKG00097</t>
  </si>
  <si>
    <t>BKG00188</t>
  </si>
  <si>
    <t>BKG00126</t>
  </si>
  <si>
    <t>BKG00022</t>
  </si>
  <si>
    <t>BKG00031</t>
  </si>
  <si>
    <t>BKG00033</t>
  </si>
  <si>
    <t>BKG00064</t>
  </si>
  <si>
    <t>BKG00130</t>
  </si>
  <si>
    <t>BKG00056</t>
  </si>
  <si>
    <t>BKG00122</t>
  </si>
  <si>
    <t>BKG00129</t>
  </si>
  <si>
    <t>BKG00150</t>
  </si>
  <si>
    <t>BKG00219</t>
  </si>
  <si>
    <t>BKG00036</t>
  </si>
  <si>
    <t>BKG00255</t>
  </si>
  <si>
    <t>BKG00175</t>
  </si>
  <si>
    <t>BKG00203</t>
  </si>
  <si>
    <t>BKG00196</t>
  </si>
  <si>
    <t>BKG00174</t>
  </si>
  <si>
    <t>BKG00116</t>
  </si>
  <si>
    <t>BKG00127</t>
  </si>
  <si>
    <t>BKG00201</t>
  </si>
  <si>
    <t>BKG00043</t>
  </si>
  <si>
    <t>BKG00140</t>
  </si>
  <si>
    <t>BKG00070</t>
  </si>
  <si>
    <t>BKG00087</t>
  </si>
  <si>
    <t>BKG00267</t>
  </si>
  <si>
    <t>BKG00057</t>
  </si>
  <si>
    <t>BKG00268</t>
  </si>
  <si>
    <t>BKG00163</t>
  </si>
  <si>
    <t>BKG00055</t>
  </si>
  <si>
    <t>BKG00146</t>
  </si>
  <si>
    <t>BKG00148</t>
  </si>
  <si>
    <t>BKG00269</t>
  </si>
  <si>
    <t>BKG00048</t>
  </si>
  <si>
    <t>BKG00068</t>
  </si>
  <si>
    <t>BKG00049</t>
  </si>
  <si>
    <t>BKG00193</t>
  </si>
  <si>
    <t>BKG00281</t>
  </si>
  <si>
    <t>BKG00284</t>
  </si>
  <si>
    <t>BKG00191</t>
  </si>
  <si>
    <t>BKG00289</t>
  </si>
  <si>
    <t>BKG00136</t>
  </si>
  <si>
    <t>BKG00152</t>
  </si>
  <si>
    <t>BKG00192</t>
  </si>
  <si>
    <t>deluxe</t>
  </si>
  <si>
    <t>Unknown</t>
  </si>
  <si>
    <t>BKG00285</t>
  </si>
  <si>
    <t>BKG00247</t>
  </si>
  <si>
    <t>BKG00291</t>
  </si>
  <si>
    <t>BKG00208</t>
  </si>
  <si>
    <t>BKG00100</t>
  </si>
  <si>
    <t>BKG00173</t>
  </si>
  <si>
    <t>BKG00018</t>
  </si>
  <si>
    <t>BKG00111</t>
  </si>
  <si>
    <t>BKG00251</t>
  </si>
  <si>
    <t>BKG00102</t>
  </si>
  <si>
    <t>BKG00292</t>
  </si>
  <si>
    <t>BKG00011</t>
  </si>
  <si>
    <t>BKG00096</t>
  </si>
  <si>
    <t>BKG00013</t>
  </si>
  <si>
    <t>BKG00061</t>
  </si>
  <si>
    <t>BKG00110</t>
  </si>
  <si>
    <t>BKG00034</t>
  </si>
  <si>
    <t>BKG00283</t>
  </si>
  <si>
    <t>BKG00207</t>
  </si>
  <si>
    <t>BKG00180</t>
  </si>
  <si>
    <t>BKG00266</t>
  </si>
  <si>
    <t>BKG00035</t>
  </si>
  <si>
    <t>BKG00143</t>
  </si>
  <si>
    <t>BKG00024</t>
  </si>
  <si>
    <t>BKG00169</t>
  </si>
  <si>
    <t>BKG00261</t>
  </si>
  <si>
    <t>BKG00288</t>
  </si>
  <si>
    <t>BKG00248</t>
  </si>
  <si>
    <t>BKG00069</t>
  </si>
  <si>
    <t>BKG00050</t>
  </si>
  <si>
    <t>BKG00278</t>
  </si>
  <si>
    <t>BKG00007</t>
  </si>
  <si>
    <t>BKG00020</t>
  </si>
  <si>
    <t>BKG00183</t>
  </si>
  <si>
    <t>BKG00168</t>
  </si>
  <si>
    <t>BKG00156</t>
  </si>
  <si>
    <t>BKG00256</t>
  </si>
  <si>
    <t>BKG00166</t>
  </si>
  <si>
    <t>BKG00204</t>
  </si>
  <si>
    <t>BKG00106</t>
  </si>
  <si>
    <t>BKG00066</t>
  </si>
  <si>
    <t>BKG00287</t>
  </si>
  <si>
    <t>BKG00074</t>
  </si>
  <si>
    <t>BKG00274</t>
  </si>
  <si>
    <t>BKG00244</t>
  </si>
  <si>
    <t>BKG00211</t>
  </si>
  <si>
    <t>BKG00085</t>
  </si>
  <si>
    <t>BKG00144</t>
  </si>
  <si>
    <t>BKG00098</t>
  </si>
  <si>
    <t>BKG00216</t>
  </si>
  <si>
    <t>BKG00263</t>
  </si>
  <si>
    <t>BKG00237</t>
  </si>
  <si>
    <t>BKG00108</t>
  </si>
  <si>
    <t>BKG00220</t>
  </si>
  <si>
    <t>BKG00197</t>
  </si>
  <si>
    <t>BKG00250</t>
  </si>
  <si>
    <t>BKG00239</t>
  </si>
  <si>
    <t>BKG00249</t>
  </si>
  <si>
    <t>BKG00264</t>
  </si>
  <si>
    <t>BKG00246</t>
  </si>
  <si>
    <t>BKG00052</t>
  </si>
  <si>
    <t>BKG00227</t>
  </si>
  <si>
    <t>BKG00090</t>
  </si>
  <si>
    <t>BKG00109</t>
  </si>
  <si>
    <t>BKG00205</t>
  </si>
  <si>
    <t>BKG00045</t>
  </si>
  <si>
    <t>BKG00145</t>
  </si>
  <si>
    <t>BKG00280</t>
  </si>
  <si>
    <t>BKG00114</t>
  </si>
  <si>
    <t>BKG00242</t>
  </si>
  <si>
    <t>BKG00021</t>
  </si>
  <si>
    <t>BKG00089</t>
  </si>
  <si>
    <t>BKG00206</t>
  </si>
  <si>
    <t>BKG00132</t>
  </si>
  <si>
    <t>BKG00101</t>
  </si>
  <si>
    <t>BKG00157</t>
  </si>
  <si>
    <t>BKG00124</t>
  </si>
  <si>
    <t>BKG00176</t>
  </si>
  <si>
    <t>BKG00026</t>
  </si>
  <si>
    <t>BKG00282</t>
  </si>
  <si>
    <t>BKG00218</t>
  </si>
  <si>
    <t>BKG00015</t>
  </si>
  <si>
    <t>BKG00032</t>
  </si>
  <si>
    <t>BKG00012</t>
  </si>
  <si>
    <t>BKG00023</t>
  </si>
  <si>
    <t>BKG00200</t>
  </si>
  <si>
    <t>BKG00046</t>
  </si>
  <si>
    <t>BKG00215</t>
  </si>
  <si>
    <t>BKG00081</t>
  </si>
  <si>
    <t>new</t>
  </si>
  <si>
    <t>BKG00243</t>
  </si>
  <si>
    <t>BKG00224</t>
  </si>
  <si>
    <t>BKG00232</t>
  </si>
  <si>
    <t>BKG00079</t>
  </si>
  <si>
    <t>BKG00213</t>
  </si>
  <si>
    <t>BKG00027</t>
  </si>
  <si>
    <t>BKG00235</t>
  </si>
  <si>
    <t>BKG00134</t>
  </si>
  <si>
    <t>BKG00277</t>
  </si>
  <si>
    <t>BKG00095</t>
  </si>
  <si>
    <t>BKG00123</t>
  </si>
  <si>
    <t>BKG00259</t>
  </si>
  <si>
    <t>BKG00028</t>
  </si>
  <si>
    <t>BKG00209</t>
  </si>
  <si>
    <t>BKG00092</t>
  </si>
  <si>
    <t>BKG00044</t>
  </si>
  <si>
    <t>BKG00077</t>
  </si>
  <si>
    <t>BKG00234</t>
  </si>
  <si>
    <t>BKG00003</t>
  </si>
  <si>
    <t>BKG00158</t>
  </si>
  <si>
    <t>BKG00039</t>
  </si>
  <si>
    <t>BKG00113</t>
  </si>
  <si>
    <t>BKG00112</t>
  </si>
  <si>
    <t>MISSING-001</t>
  </si>
  <si>
    <t>MISSING-002</t>
  </si>
  <si>
    <t>MISSING-003</t>
  </si>
  <si>
    <t>MISSING-004</t>
  </si>
  <si>
    <t>MISSING-005</t>
  </si>
  <si>
    <t>MISSING-006</t>
  </si>
  <si>
    <t>MISSING-007</t>
  </si>
  <si>
    <t>MISSING-008</t>
  </si>
  <si>
    <t>MISSING-009</t>
  </si>
  <si>
    <t>Analysis Date</t>
  </si>
  <si>
    <t>Metric</t>
  </si>
  <si>
    <t>Formula</t>
  </si>
  <si>
    <t>Result</t>
  </si>
  <si>
    <t>Total Records</t>
  </si>
  <si>
    <t>Average Room Rate</t>
  </si>
  <si>
    <t>Average Nights</t>
  </si>
  <si>
    <t>Minimum Room Rate</t>
  </si>
  <si>
    <t>Maximum Room Rate</t>
  </si>
  <si>
    <t>Completed Bookings</t>
  </si>
  <si>
    <t>Cancelled Bookings</t>
  </si>
  <si>
    <t>Confirmed Bookings</t>
  </si>
  <si>
    <t>No-Show Bookings</t>
  </si>
  <si>
    <t>Total Revenue</t>
  </si>
  <si>
    <t>Revenue from Completed</t>
  </si>
  <si>
    <t>Average Room Rate (Completed)</t>
  </si>
  <si>
    <t>Booking Result</t>
  </si>
  <si>
    <t>Earliest Booking Date</t>
  </si>
  <si>
    <t>Latest Booking Date</t>
  </si>
  <si>
    <t>Date Range</t>
  </si>
  <si>
    <t>Function</t>
  </si>
  <si>
    <t>Original Text</t>
  </si>
  <si>
    <t>TRIM</t>
  </si>
  <si>
    <t>PROPER</t>
  </si>
  <si>
    <t>UPPER</t>
  </si>
  <si>
    <t>COMPLETED</t>
  </si>
  <si>
    <t>LOWER</t>
  </si>
  <si>
    <t>SUITE</t>
  </si>
  <si>
    <t>suite</t>
  </si>
  <si>
    <t xml:space="preserve">                   Date Analysis</t>
  </si>
  <si>
    <t>" Deluxe "</t>
  </si>
  <si>
    <t xml:space="preserve">                                        HOTEL BOOKING ANALYSIS</t>
  </si>
  <si>
    <t xml:space="preserve">             Analysis of Hotel Booking Data (Cleaned_Data)</t>
  </si>
  <si>
    <t>Key Metrics</t>
  </si>
  <si>
    <t>Row Labels</t>
  </si>
  <si>
    <t>Grand Total</t>
  </si>
  <si>
    <t>Count of Booking_Status</t>
  </si>
  <si>
    <t>Sum of Room_Rate</t>
  </si>
  <si>
    <t>Count of Room_Type</t>
  </si>
  <si>
    <t>Count of Customer_Type</t>
  </si>
  <si>
    <t>Average of Room_Rate</t>
  </si>
  <si>
    <t>Average of Nights</t>
  </si>
  <si>
    <t>Booking status</t>
  </si>
  <si>
    <t>Average Nights by Customer Type</t>
  </si>
  <si>
    <t>c</t>
  </si>
  <si>
    <t xml:space="preserve">Customer Type </t>
  </si>
  <si>
    <t xml:space="preserve">                                                  Average Room Rate by Room Type</t>
  </si>
  <si>
    <t>NOTES</t>
  </si>
  <si>
    <r>
      <t xml:space="preserve">☑ Data is based on the </t>
    </r>
    <r>
      <rPr>
        <b/>
        <sz val="11"/>
        <color theme="1"/>
        <rFont val="Calibri"/>
        <family val="2"/>
        <scheme val="minor"/>
      </rPr>
      <t>Cleaned_Data</t>
    </r>
    <r>
      <rPr>
        <sz val="11"/>
        <color theme="1"/>
        <rFont val="Calibri"/>
        <family val="2"/>
        <scheme val="minor"/>
      </rPr>
      <t xml:space="preserve"> sheet.</t>
    </r>
  </si>
  <si>
    <r>
      <t xml:space="preserve">☑ All counts are calculated from </t>
    </r>
    <r>
      <rPr>
        <b/>
        <sz val="11"/>
        <color theme="1"/>
        <rFont val="Calibri"/>
        <family val="2"/>
        <scheme val="minor"/>
      </rPr>
      <t>292 booking records</t>
    </r>
    <r>
      <rPr>
        <sz val="11"/>
        <color theme="1"/>
        <rFont val="Calibri"/>
        <family val="2"/>
        <scheme val="minor"/>
      </rPr>
      <t>.</t>
    </r>
  </si>
  <si>
    <r>
      <t xml:space="preserve">☑ Average values are calculated for </t>
    </r>
    <r>
      <rPr>
        <b/>
        <sz val="11"/>
        <color theme="1"/>
        <rFont val="Calibri"/>
        <family val="2"/>
        <scheme val="minor"/>
      </rPr>
      <t>Room Rate</t>
    </r>
    <r>
      <rPr>
        <sz val="11"/>
        <color theme="1"/>
        <rFont val="Calibri"/>
        <family val="2"/>
        <scheme val="minor"/>
      </rPr>
      <t xml:space="preserve"> and </t>
    </r>
    <r>
      <rPr>
        <b/>
        <sz val="11"/>
        <color theme="1"/>
        <rFont val="Calibri"/>
        <family val="2"/>
        <scheme val="minor"/>
      </rPr>
      <t>Nights</t>
    </r>
    <r>
      <rPr>
        <sz val="11"/>
        <color theme="1"/>
        <rFont val="Calibri"/>
        <family val="2"/>
        <scheme val="minor"/>
      </rPr>
      <t>.</t>
    </r>
  </si>
  <si>
    <r>
      <t xml:space="preserve"> ☑Minimum Room Rate: </t>
    </r>
    <r>
      <rPr>
        <b/>
        <sz val="11"/>
        <color theme="1"/>
        <rFont val="Calibri"/>
        <family val="2"/>
        <scheme val="minor"/>
      </rPr>
      <t>40.57</t>
    </r>
  </si>
  <si>
    <r>
      <t xml:space="preserve">  ☑Average Room Rate: </t>
    </r>
    <r>
      <rPr>
        <b/>
        <sz val="11"/>
        <color theme="1"/>
        <rFont val="Calibri"/>
        <family val="2"/>
        <scheme val="minor"/>
      </rPr>
      <t>76.61</t>
    </r>
  </si>
  <si>
    <t xml:space="preserve">   ☑Total Revenue: 22,369.17</t>
  </si>
  <si>
    <t>FINDINGS</t>
  </si>
  <si>
    <t>RECOMMENDATIONS</t>
  </si>
  <si>
    <t>1 . Total booking records analyzed were 292.</t>
  </si>
  <si>
    <t>🏨HOTEL BOOKING AND CUSTOMER ANALYSIS</t>
  </si>
  <si>
    <t xml:space="preserve"> 2. Completed bookings (158) were higher than Confirmed (58), Cancelled (55), and No-Show (21).</t>
  </si>
  <si>
    <t xml:space="preserve"> 3. Standard Room was the most booked room type (144 bookings).</t>
  </si>
  <si>
    <t xml:space="preserve"> 4. New customers (135) booked more frequently than Returning (100) and Corporate (57) customers.</t>
  </si>
  <si>
    <t xml:space="preserve"> 6. Returning customers stayed the longest, with an average of 6.20 nights.</t>
  </si>
  <si>
    <t>2. Encourage New Customers to return using loyalty programs or discounts.</t>
  </si>
  <si>
    <t>3. Create special offers for Corporate Customers to increase their average stay.</t>
  </si>
  <si>
    <t>4. Reduce Cancelled and No-Show bookings by sending booking reminders.</t>
  </si>
  <si>
    <r>
      <rPr>
        <sz val="11"/>
        <color theme="9" tint="-0.499984740745262"/>
        <rFont val="Calibri"/>
        <family val="2"/>
        <scheme val="minor"/>
      </rPr>
      <t>✓</t>
    </r>
    <r>
      <rPr>
        <sz val="11"/>
        <color theme="1"/>
        <rFont val="Calibri"/>
        <family val="2"/>
        <scheme val="minor"/>
      </rPr>
      <t xml:space="preserve"> Dashboard is based on the Cleaned_Data sheet.</t>
    </r>
  </si>
  <si>
    <r>
      <rPr>
        <sz val="11"/>
        <color theme="9" tint="-0.499984740745262"/>
        <rFont val="Calibri"/>
        <family val="2"/>
        <scheme val="minor"/>
      </rPr>
      <t>✓</t>
    </r>
    <r>
      <rPr>
        <sz val="11"/>
        <color theme="1"/>
        <rFont val="Calibri"/>
        <family val="2"/>
        <scheme val="minor"/>
      </rPr>
      <t xml:space="preserve"> KPIs are calculated using PivotTables.</t>
    </r>
  </si>
  <si>
    <r>
      <rPr>
        <sz val="11"/>
        <color theme="9" tint="-0.499984740745262"/>
        <rFont val="Calibri"/>
        <family val="2"/>
        <scheme val="minor"/>
      </rPr>
      <t>✓</t>
    </r>
    <r>
      <rPr>
        <sz val="11"/>
        <color theme="1"/>
        <rFont val="Calibri"/>
        <family val="2"/>
        <scheme val="minor"/>
      </rPr>
      <t xml:space="preserve"> Revenue analysis is based on completed bookings.</t>
    </r>
  </si>
  <si>
    <t>1. Promote Standard Rooms because they receive the highest number of bookings.</t>
  </si>
  <si>
    <t>MISSING-0010</t>
  </si>
  <si>
    <t>MISSING-0011</t>
  </si>
  <si>
    <t>MISSING-0012</t>
  </si>
  <si>
    <t>MISSING-0013</t>
  </si>
  <si>
    <t>MISSING-0014</t>
  </si>
  <si>
    <t>MISSING-0015</t>
  </si>
  <si>
    <t>UnKnown</t>
  </si>
  <si>
    <t>24/8/2026</t>
  </si>
  <si>
    <t>Column</t>
  </si>
  <si>
    <t>Missing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</si>
</sst>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0"/>
    <numFmt numFmtId="166" formatCode="0.0"/>
    <numFmt numFmtId="167" formatCode="yyyy\-mm\-dd;@"/>
  </numFmts>
  <fonts count="41">
    <font>
      <sz val="11"/>
      <color theme="1"/>
      <name val="Calibri"/>
      <family val="2"/>
      <scheme val="minor"/>
    </font>
    <font>
      <sz val="11"/>
      <color theme="0"/>
      <name val="Calibri"/>
      <family val="2"/>
      <scheme val="minor"/>
    </font>
    <font>
      <b/>
      <sz val="11"/>
      <name val="Carlito"/>
    </font>
    <font>
      <sz val="22"/>
      <color theme="0"/>
      <name val="Calibri"/>
      <family val="2"/>
      <scheme val="minor"/>
    </font>
    <font>
      <sz val="16"/>
      <color theme="0"/>
      <name val="Calibri"/>
      <family val="2"/>
      <scheme val="minor"/>
    </font>
    <font>
      <sz val="14"/>
      <color theme="0"/>
      <name val="Calibri"/>
      <family val="2"/>
      <scheme val="minor"/>
    </font>
    <font>
      <sz val="12"/>
      <color theme="0"/>
      <name val="Calibri"/>
      <family val="2"/>
      <scheme val="minor"/>
    </font>
    <font>
      <sz val="14"/>
      <color theme="1"/>
      <name val="Calibri"/>
      <family val="2"/>
      <scheme val="minor"/>
    </font>
    <font>
      <b/>
      <sz val="11"/>
      <color theme="1"/>
      <name val="Calibri"/>
      <family val="2"/>
      <scheme val="minor"/>
    </font>
    <font>
      <b/>
      <sz val="22"/>
      <color theme="0"/>
      <name val="Calibri"/>
      <family val="2"/>
      <scheme val="minor"/>
    </font>
    <font>
      <b/>
      <sz val="14"/>
      <color theme="0"/>
      <name val="Calibri"/>
      <family val="2"/>
      <scheme val="minor"/>
    </font>
    <font>
      <sz val="14"/>
      <color rgb="FFFFC000"/>
      <name val="Calibri"/>
      <family val="2"/>
      <scheme val="minor"/>
    </font>
    <font>
      <sz val="11"/>
      <color rgb="FFFFC000"/>
      <name val="Calibri"/>
      <family val="2"/>
      <scheme val="minor"/>
    </font>
    <font>
      <b/>
      <sz val="14"/>
      <color theme="1"/>
      <name val="Calibri"/>
      <family val="2"/>
      <scheme val="minor"/>
    </font>
    <font>
      <b/>
      <sz val="12"/>
      <color theme="0"/>
      <name val="Calibri"/>
      <family val="2"/>
      <scheme val="minor"/>
    </font>
    <font>
      <sz val="20"/>
      <color theme="0"/>
      <name val="Calibri"/>
      <family val="2"/>
      <scheme val="minor"/>
    </font>
    <font>
      <b/>
      <sz val="18"/>
      <color theme="0"/>
      <name val="Calibri"/>
      <family val="2"/>
      <scheme val="minor"/>
    </font>
    <font>
      <b/>
      <sz val="8"/>
      <color theme="0"/>
      <name val="Calibri"/>
      <family val="2"/>
      <scheme val="minor"/>
    </font>
    <font>
      <b/>
      <sz val="16"/>
      <color theme="0"/>
      <name val="Calibri"/>
      <family val="2"/>
      <scheme val="minor"/>
    </font>
    <font>
      <b/>
      <sz val="20"/>
      <color theme="0"/>
      <name val="Calibri"/>
      <family val="2"/>
      <scheme val="minor"/>
    </font>
    <font>
      <sz val="11"/>
      <color theme="1" tint="4.9989318521683403E-2"/>
      <name val="Calibri"/>
      <family val="2"/>
      <scheme val="minor"/>
    </font>
    <font>
      <sz val="10"/>
      <color theme="1" tint="4.9989318521683403E-2"/>
      <name val="Arial Unicode MS"/>
    </font>
    <font>
      <sz val="9"/>
      <color theme="1" tint="4.9989318521683403E-2"/>
      <name val="Arial Unicode MS"/>
    </font>
    <font>
      <sz val="14"/>
      <name val="Carlito"/>
    </font>
    <font>
      <sz val="12"/>
      <name val="Calibri"/>
      <family val="2"/>
      <scheme val="minor"/>
    </font>
    <font>
      <sz val="12"/>
      <color theme="4" tint="-0.249977111117893"/>
      <name val="Calibri"/>
      <family val="2"/>
      <scheme val="minor"/>
    </font>
    <font>
      <sz val="14"/>
      <color theme="4" tint="-0.249977111117893"/>
      <name val="Carlito"/>
    </font>
    <font>
      <sz val="14"/>
      <name val="Calibri"/>
      <family val="2"/>
      <scheme val="minor"/>
    </font>
    <font>
      <b/>
      <sz val="18"/>
      <name val="Calibri"/>
      <family val="2"/>
      <scheme val="minor"/>
    </font>
    <font>
      <sz val="11"/>
      <color theme="9" tint="0.79998168889431442"/>
      <name val="Calibri"/>
      <family val="2"/>
      <scheme val="minor"/>
    </font>
    <font>
      <b/>
      <sz val="11"/>
      <color theme="9" tint="0.79998168889431442"/>
      <name val="Calibri"/>
      <family val="2"/>
      <scheme val="minor"/>
    </font>
    <font>
      <b/>
      <sz val="14"/>
      <color theme="7" tint="-0.249977111117893"/>
      <name val="Calibri"/>
      <family val="2"/>
      <scheme val="minor"/>
    </font>
    <font>
      <sz val="14"/>
      <color theme="7" tint="-0.249977111117893"/>
      <name val="Calibri"/>
      <family val="2"/>
      <scheme val="minor"/>
    </font>
    <font>
      <sz val="11"/>
      <color theme="9" tint="-0.499984740745262"/>
      <name val="Calibri"/>
      <family val="2"/>
      <scheme val="minor"/>
    </font>
    <font>
      <b/>
      <sz val="11"/>
      <color theme="0"/>
      <name val="Calibri"/>
      <family val="2"/>
      <scheme val="minor"/>
    </font>
    <font>
      <b/>
      <sz val="18"/>
      <color theme="9" tint="0.59999389629810485"/>
      <name val="Calibri"/>
      <family val="2"/>
      <scheme val="minor"/>
    </font>
    <font>
      <b/>
      <sz val="12"/>
      <color theme="9" tint="0.59999389629810485"/>
      <name val="Calibri"/>
      <family val="2"/>
      <scheme val="minor"/>
    </font>
    <font>
      <b/>
      <sz val="18"/>
      <color rgb="FF0B2341"/>
      <name val="Calibri"/>
      <family val="2"/>
      <scheme val="minor"/>
    </font>
    <font>
      <b/>
      <sz val="20"/>
      <color rgb="FF0B2341"/>
      <name val="Calibri"/>
      <family val="2"/>
      <scheme val="minor"/>
    </font>
    <font>
      <b/>
      <sz val="12.5"/>
      <color rgb="FFFFFFFF"/>
      <name val="Calibri"/>
    </font>
    <font>
      <sz val="12.5"/>
      <color rgb="FF1F2A33"/>
      <name val="Calibri"/>
    </font>
  </fonts>
  <fills count="7">
    <fill>
      <patternFill patternType="none"/>
    </fill>
    <fill>
      <patternFill patternType="gray125"/>
    </fill>
    <fill>
      <patternFill patternType="solid">
        <fgColor rgb="FFD9EAF7"/>
      </patternFill>
    </fill>
    <fill>
      <patternFill patternType="solid">
        <fgColor rgb="FF0B2341"/>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D9E2E8"/>
      </left>
      <right style="thin">
        <color rgb="FFD9E2E8"/>
      </right>
      <top style="thin">
        <color rgb="FFD9E2E8"/>
      </top>
      <bottom style="thin">
        <color rgb="FFD9E2E8"/>
      </bottom>
      <diagonal/>
    </border>
  </borders>
  <cellStyleXfs count="1">
    <xf numFmtId="0" fontId="0" fillId="0" borderId="0"/>
  </cellStyleXfs>
  <cellXfs count="101">
    <xf numFmtId="0" fontId="0" fillId="0" borderId="0" xfId="0"/>
    <xf numFmtId="0" fontId="2" fillId="2" borderId="0" xfId="0" applyFont="1" applyFill="1" applyAlignment="1">
      <alignment horizontal="center" vertical="center"/>
    </xf>
    <xf numFmtId="165" fontId="0" fillId="0" borderId="0" xfId="0" applyNumberFormat="1"/>
    <xf numFmtId="0" fontId="3" fillId="3" borderId="0" xfId="0" applyFont="1" applyFill="1" applyAlignment="1"/>
    <xf numFmtId="0" fontId="0" fillId="3" borderId="0" xfId="0" applyFill="1"/>
    <xf numFmtId="2" fontId="0" fillId="0" borderId="0" xfId="0" applyNumberFormat="1"/>
    <xf numFmtId="0" fontId="0" fillId="3" borderId="0" xfId="0" applyFill="1" applyAlignment="1">
      <alignment horizontal="center"/>
    </xf>
    <xf numFmtId="0" fontId="9" fillId="3" borderId="0" xfId="0" applyFont="1" applyFill="1" applyAlignment="1"/>
    <xf numFmtId="0" fontId="0" fillId="3" borderId="0" xfId="0" applyFill="1" applyAlignment="1"/>
    <xf numFmtId="0" fontId="10" fillId="3" borderId="0" xfId="0" applyFont="1" applyFill="1" applyAlignment="1"/>
    <xf numFmtId="0" fontId="5" fillId="3" borderId="0" xfId="0" applyFont="1" applyFill="1" applyAlignment="1"/>
    <xf numFmtId="0" fontId="8" fillId="0" borderId="0" xfId="0" applyFont="1"/>
    <xf numFmtId="1" fontId="0" fillId="0" borderId="0" xfId="0" applyNumberFormat="1"/>
    <xf numFmtId="166" fontId="0" fillId="0" borderId="0" xfId="0" applyNumberFormat="1"/>
    <xf numFmtId="0" fontId="8" fillId="0" borderId="0" xfId="0" applyFont="1" applyAlignment="1">
      <alignment horizontal="center" vertical="center" wrapText="1"/>
    </xf>
    <xf numFmtId="0" fontId="0" fillId="0" borderId="0" xfId="0" applyAlignment="1">
      <alignment vertical="center" wrapText="1"/>
    </xf>
    <xf numFmtId="4" fontId="8" fillId="0" borderId="0" xfId="0" applyNumberFormat="1" applyFont="1"/>
    <xf numFmtId="0" fontId="12" fillId="3" borderId="0" xfId="0" applyFont="1" applyFill="1"/>
    <xf numFmtId="0" fontId="0" fillId="4" borderId="0" xfId="0" applyFill="1"/>
    <xf numFmtId="0" fontId="13" fillId="3" borderId="0" xfId="0" applyFont="1" applyFill="1" applyAlignment="1"/>
    <xf numFmtId="14" fontId="11" fillId="3" borderId="0" xfId="0" applyNumberFormat="1" applyFont="1" applyFill="1" applyAlignment="1"/>
    <xf numFmtId="0" fontId="0" fillId="0" borderId="0" xfId="0" pivotButton="1"/>
    <xf numFmtId="0" fontId="0" fillId="0" borderId="0" xfId="0" applyAlignment="1">
      <alignment horizontal="left"/>
    </xf>
    <xf numFmtId="0" fontId="0" fillId="0" borderId="0" xfId="0" applyNumberFormat="1"/>
    <xf numFmtId="0" fontId="8" fillId="3" borderId="0" xfId="0" applyFont="1" applyFill="1" applyAlignment="1">
      <alignment horizontal="center" vertical="center" wrapText="1"/>
    </xf>
    <xf numFmtId="0" fontId="13" fillId="3" borderId="0" xfId="0" applyFont="1" applyFill="1"/>
    <xf numFmtId="0" fontId="13" fillId="3" borderId="0" xfId="0" applyFont="1" applyFill="1" applyAlignment="1">
      <alignment horizontal="center" vertical="center" wrapText="1"/>
    </xf>
    <xf numFmtId="0" fontId="16" fillId="3" borderId="0" xfId="0" applyFont="1" applyFill="1" applyAlignment="1">
      <alignment horizontal="center"/>
    </xf>
    <xf numFmtId="0" fontId="4" fillId="3" borderId="0" xfId="0" applyFont="1" applyFill="1"/>
    <xf numFmtId="0" fontId="18" fillId="3" borderId="0" xfId="0" applyFont="1" applyFill="1"/>
    <xf numFmtId="0" fontId="6" fillId="3" borderId="0" xfId="0" applyFont="1" applyFill="1" applyAlignment="1">
      <alignment horizontal="center"/>
    </xf>
    <xf numFmtId="0" fontId="17" fillId="3" borderId="0" xfId="0" applyFont="1" applyFill="1" applyAlignment="1">
      <alignment horizontal="center" vertical="center" readingOrder="1"/>
    </xf>
    <xf numFmtId="0" fontId="0" fillId="5" borderId="0" xfId="0" applyFill="1"/>
    <xf numFmtId="0" fontId="0" fillId="6" borderId="0" xfId="0" applyFill="1"/>
    <xf numFmtId="0" fontId="23" fillId="0" borderId="0" xfId="0" applyFont="1" applyAlignment="1">
      <alignment horizontal="left"/>
    </xf>
    <xf numFmtId="0" fontId="23" fillId="0" borderId="0" xfId="0" applyFont="1"/>
    <xf numFmtId="0" fontId="27" fillId="0" borderId="0" xfId="0" applyFont="1" applyBorder="1"/>
    <xf numFmtId="0" fontId="24" fillId="0" borderId="0" xfId="0" applyFont="1" applyBorder="1"/>
    <xf numFmtId="0" fontId="23" fillId="0" borderId="0" xfId="0" applyFont="1" applyBorder="1"/>
    <xf numFmtId="0" fontId="27" fillId="0" borderId="0" xfId="0" applyFont="1" applyBorder="1" applyAlignment="1">
      <alignment horizontal="left"/>
    </xf>
    <xf numFmtId="0" fontId="24" fillId="0" borderId="0" xfId="0" applyFont="1" applyBorder="1" applyAlignment="1">
      <alignment horizontal="left"/>
    </xf>
    <xf numFmtId="0" fontId="23" fillId="0" borderId="0" xfId="0" applyFont="1" applyBorder="1" applyAlignment="1">
      <alignment horizontal="left"/>
    </xf>
    <xf numFmtId="0" fontId="27" fillId="0" borderId="1" xfId="0" applyFont="1" applyBorder="1" applyAlignment="1">
      <alignment horizontal="left"/>
    </xf>
    <xf numFmtId="0" fontId="0" fillId="0" borderId="0" xfId="0" applyBorder="1"/>
    <xf numFmtId="0" fontId="24" fillId="3" borderId="0" xfId="0" applyFont="1" applyFill="1"/>
    <xf numFmtId="0" fontId="24" fillId="4" borderId="0" xfId="0" applyFont="1" applyFill="1"/>
    <xf numFmtId="0" fontId="23" fillId="4" borderId="0" xfId="0" applyFont="1" applyFill="1"/>
    <xf numFmtId="0" fontId="24" fillId="5" borderId="0" xfId="0" applyFont="1" applyFill="1" applyBorder="1" applyAlignment="1">
      <alignment horizontal="left"/>
    </xf>
    <xf numFmtId="0" fontId="23" fillId="5" borderId="0" xfId="0" applyFont="1" applyFill="1" applyBorder="1" applyAlignment="1">
      <alignment horizontal="left"/>
    </xf>
    <xf numFmtId="0" fontId="25" fillId="5" borderId="0" xfId="0" applyFont="1" applyFill="1" applyBorder="1" applyAlignment="1"/>
    <xf numFmtId="0" fontId="26" fillId="5" borderId="0" xfId="0" applyFont="1" applyFill="1" applyBorder="1" applyAlignment="1"/>
    <xf numFmtId="0" fontId="28" fillId="4" borderId="0" xfId="0" applyFont="1" applyFill="1" applyBorder="1" applyAlignment="1">
      <alignment horizontal="left"/>
    </xf>
    <xf numFmtId="0" fontId="24" fillId="4" borderId="0" xfId="0" applyFont="1" applyFill="1" applyBorder="1" applyAlignment="1">
      <alignment horizontal="left"/>
    </xf>
    <xf numFmtId="0" fontId="23" fillId="4" borderId="0" xfId="0" applyFont="1" applyFill="1" applyBorder="1" applyAlignment="1">
      <alignment horizontal="left"/>
    </xf>
    <xf numFmtId="0" fontId="23" fillId="4" borderId="0" xfId="0" applyFont="1" applyFill="1" applyAlignment="1">
      <alignment horizontal="left"/>
    </xf>
    <xf numFmtId="0" fontId="20" fillId="5" borderId="0" xfId="0" applyFont="1" applyFill="1" applyAlignment="1">
      <alignment vertical="center" wrapText="1"/>
    </xf>
    <xf numFmtId="0" fontId="21" fillId="5" borderId="0" xfId="0" applyFont="1" applyFill="1" applyAlignment="1">
      <alignment vertical="center" wrapText="1"/>
    </xf>
    <xf numFmtId="0" fontId="22" fillId="5" borderId="0" xfId="0" applyFont="1" applyFill="1" applyAlignment="1">
      <alignment vertical="center" wrapText="1"/>
    </xf>
    <xf numFmtId="0" fontId="29" fillId="5" borderId="0" xfId="0" applyFont="1" applyFill="1"/>
    <xf numFmtId="0" fontId="30" fillId="5" borderId="0" xfId="0" applyFont="1" applyFill="1"/>
    <xf numFmtId="0" fontId="20" fillId="5" borderId="0" xfId="0" applyFont="1" applyFill="1"/>
    <xf numFmtId="2" fontId="20" fillId="5" borderId="0" xfId="0" applyNumberFormat="1" applyFont="1" applyFill="1"/>
    <xf numFmtId="1" fontId="20" fillId="5" borderId="0" xfId="0" applyNumberFormat="1" applyFont="1" applyFill="1"/>
    <xf numFmtId="14" fontId="0" fillId="5" borderId="0" xfId="0" applyNumberFormat="1" applyFill="1"/>
    <xf numFmtId="0" fontId="31" fillId="3" borderId="0" xfId="0" applyFont="1" applyFill="1" applyAlignment="1"/>
    <xf numFmtId="0" fontId="32" fillId="3" borderId="0" xfId="0" applyFont="1" applyFill="1" applyAlignment="1"/>
    <xf numFmtId="0" fontId="1" fillId="3" borderId="0" xfId="0" applyFont="1" applyFill="1"/>
    <xf numFmtId="0" fontId="23" fillId="3" borderId="0" xfId="0" applyFont="1" applyFill="1"/>
    <xf numFmtId="0" fontId="23" fillId="3" borderId="0" xfId="0" applyFont="1" applyFill="1" applyAlignment="1">
      <alignment horizontal="left"/>
    </xf>
    <xf numFmtId="0" fontId="7" fillId="0" borderId="2" xfId="0" applyFont="1" applyBorder="1"/>
    <xf numFmtId="0" fontId="23" fillId="5" borderId="0" xfId="0" applyFont="1" applyFill="1"/>
    <xf numFmtId="0" fontId="23" fillId="5" borderId="0" xfId="0" applyFont="1" applyFill="1" applyAlignment="1">
      <alignment horizontal="left"/>
    </xf>
    <xf numFmtId="0" fontId="37" fillId="5" borderId="0" xfId="0" applyFont="1" applyFill="1" applyBorder="1" applyAlignment="1">
      <alignment horizontal="left"/>
    </xf>
    <xf numFmtId="0" fontId="38" fillId="5" borderId="0" xfId="0" applyFont="1" applyFill="1" applyBorder="1" applyAlignment="1"/>
    <xf numFmtId="167" fontId="2" fillId="2" borderId="0" xfId="0" applyNumberFormat="1" applyFont="1" applyFill="1" applyAlignment="1">
      <alignment horizontal="center" vertical="center"/>
    </xf>
    <xf numFmtId="167" fontId="0" fillId="0" borderId="0" xfId="0" applyNumberFormat="1"/>
    <xf numFmtId="0" fontId="0" fillId="5" borderId="0" xfId="0" applyFill="1" applyAlignment="1">
      <alignment horizontal="right"/>
    </xf>
    <xf numFmtId="0" fontId="20" fillId="0" borderId="0" xfId="0" applyFont="1" applyFill="1" applyAlignment="1">
      <alignment vertical="center" wrapText="1"/>
    </xf>
    <xf numFmtId="0" fontId="21" fillId="0" borderId="0" xfId="0" applyFont="1" applyFill="1" applyAlignment="1">
      <alignment vertical="center" wrapText="1"/>
    </xf>
    <xf numFmtId="0" fontId="0" fillId="0" borderId="0" xfId="0" applyFill="1"/>
    <xf numFmtId="0" fontId="16" fillId="0" borderId="0" xfId="0" applyFont="1" applyFill="1" applyAlignment="1">
      <alignment horizontal="center"/>
    </xf>
    <xf numFmtId="0" fontId="0" fillId="5" borderId="0" xfId="0" applyFill="1" applyAlignment="1">
      <alignment horizontal="left"/>
    </xf>
    <xf numFmtId="0" fontId="0" fillId="5" borderId="0" xfId="0" applyNumberFormat="1" applyFill="1"/>
    <xf numFmtId="2" fontId="0" fillId="5" borderId="0" xfId="0" applyNumberFormat="1" applyFill="1"/>
    <xf numFmtId="166" fontId="0" fillId="5" borderId="0" xfId="0" applyNumberFormat="1" applyFill="1"/>
    <xf numFmtId="1" fontId="0" fillId="5" borderId="0" xfId="0" applyNumberFormat="1" applyFill="1"/>
    <xf numFmtId="0" fontId="0" fillId="0" borderId="0" xfId="0" applyFill="1" applyAlignment="1"/>
    <xf numFmtId="0" fontId="1" fillId="3" borderId="0" xfId="0" applyFont="1" applyFill="1" applyAlignment="1"/>
    <xf numFmtId="0" fontId="39" fillId="3" borderId="3" xfId="0" applyFont="1" applyFill="1" applyBorder="1" applyAlignment="1">
      <alignment horizontal="left" vertical="center" wrapText="1" readingOrder="1"/>
    </xf>
    <xf numFmtId="0" fontId="40" fillId="5" borderId="3" xfId="0" applyFont="1" applyFill="1" applyBorder="1" applyAlignment="1">
      <alignment horizontal="left" vertical="center" wrapText="1" readingOrder="1"/>
    </xf>
    <xf numFmtId="0" fontId="19" fillId="3" borderId="0" xfId="0" applyFont="1" applyFill="1" applyAlignment="1">
      <alignment horizontal="center"/>
    </xf>
    <xf numFmtId="0" fontId="0" fillId="3" borderId="0" xfId="0" applyFill="1" applyAlignment="1">
      <alignment horizontal="center"/>
    </xf>
    <xf numFmtId="0" fontId="15" fillId="3" borderId="0" xfId="0" applyFont="1" applyFill="1" applyAlignment="1">
      <alignment horizontal="center"/>
    </xf>
    <xf numFmtId="0" fontId="14" fillId="3" borderId="0" xfId="0" applyFont="1" applyFill="1" applyAlignment="1">
      <alignment horizontal="center"/>
    </xf>
    <xf numFmtId="0" fontId="34" fillId="3" borderId="0" xfId="0" applyFont="1" applyFill="1" applyAlignment="1">
      <alignment horizontal="center"/>
    </xf>
    <xf numFmtId="0" fontId="3" fillId="3" borderId="0" xfId="0" applyFont="1" applyFill="1" applyAlignment="1">
      <alignment horizontal="center"/>
    </xf>
    <xf numFmtId="0" fontId="35" fillId="3" borderId="0" xfId="0" applyFont="1" applyFill="1" applyAlignment="1">
      <alignment horizontal="center"/>
    </xf>
    <xf numFmtId="0" fontId="36" fillId="3" borderId="0" xfId="0" applyFont="1" applyFill="1" applyAlignment="1">
      <alignment horizontal="center"/>
    </xf>
    <xf numFmtId="49" fontId="2" fillId="2" borderId="0" xfId="0" applyNumberFormat="1" applyFont="1" applyFill="1" applyAlignment="1">
      <alignment horizontal="center" vertical="center"/>
    </xf>
    <xf numFmtId="49" fontId="0" fillId="0" borderId="0" xfId="0" applyNumberFormat="1"/>
    <xf numFmtId="1" fontId="2" fillId="2" borderId="0" xfId="0" applyNumberFormat="1" applyFont="1" applyFill="1" applyAlignment="1">
      <alignment horizontal="center" vertical="center"/>
    </xf>
  </cellXfs>
  <cellStyles count="1">
    <cellStyle name="Normal" xfId="0" builtinId="0"/>
  </cellStyles>
  <dxfs count="64">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6" formatCode="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2"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ont>
        <b val="0"/>
        <i val="0"/>
        <strike val="0"/>
        <condense val="0"/>
        <extend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color theme="1" tint="4.9989318521683403E-2"/>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tint="4.9989318521683403E-2"/>
        <name val="Arial Unicode MS"/>
        <scheme val="none"/>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tint="4.9989318521683403E-2"/>
        <name val="Arial Unicode MS"/>
        <scheme val="none"/>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color theme="1" tint="4.9989318521683403E-2"/>
      </font>
      <fill>
        <patternFill patternType="solid">
          <fgColor indexed="64"/>
          <bgColor theme="9"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sz val="11"/>
        <color theme="1" tint="4.9989318521683403E-2"/>
        <name val="Calibri"/>
        <family val="2"/>
        <scheme val="minor"/>
      </font>
      <fill>
        <patternFill patternType="solid">
          <fgColor indexed="64"/>
          <bgColor theme="9" tint="0.59999389629810485"/>
        </patternFill>
      </fill>
      <alignment horizontal="general" vertical="center" textRotation="0" wrapText="1" indent="0" justifyLastLine="0" shrinkToFit="0" readingOrder="0"/>
    </dxf>
    <dxf>
      <font>
        <strike val="0"/>
        <outline val="0"/>
        <shadow val="0"/>
        <u val="none"/>
        <vertAlign val="baseline"/>
        <color theme="1" tint="4.9989318521683403E-2"/>
        <family val="2"/>
      </font>
      <fill>
        <patternFill patternType="solid">
          <fgColor indexed="64"/>
          <bgColor theme="9" tint="0.59999389629810485"/>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0B2341"/>
        </patternFill>
      </fill>
      <alignment horizontal="center" vertical="center" textRotation="0" wrapText="1" indent="0" justifyLastLine="0" shrinkToFit="0" readingOrder="0"/>
    </dxf>
    <dxf>
      <font>
        <strike val="0"/>
        <outline val="0"/>
        <shadow val="0"/>
        <u val="none"/>
        <vertAlign val="baseline"/>
        <sz val="11"/>
        <color theme="1" tint="4.9989318521683403E-2"/>
        <name val="Calibri"/>
        <family val="2"/>
        <scheme val="minor"/>
      </font>
      <numFmt numFmtId="2" formatCode="0.00"/>
      <fill>
        <patternFill patternType="solid">
          <fgColor indexed="64"/>
          <bgColor theme="9" tint="0.59999389629810485"/>
        </patternFill>
      </fill>
    </dxf>
    <dxf>
      <font>
        <strike val="0"/>
        <outline val="0"/>
        <shadow val="0"/>
        <u val="none"/>
        <vertAlign val="baseline"/>
        <sz val="11"/>
        <color theme="1" tint="4.9989318521683403E-2"/>
        <name val="Calibri"/>
        <family val="2"/>
        <scheme val="minor"/>
      </font>
      <fill>
        <patternFill patternType="solid">
          <fgColor indexed="64"/>
          <bgColor theme="9" tint="0.59999389629810485"/>
        </patternFill>
      </fill>
    </dxf>
    <dxf>
      <font>
        <strike val="0"/>
        <outline val="0"/>
        <shadow val="0"/>
        <u val="none"/>
        <vertAlign val="baseline"/>
        <sz val="11"/>
        <color theme="1" tint="4.9989318521683403E-2"/>
        <name val="Calibri"/>
        <family val="2"/>
        <scheme val="minor"/>
      </font>
      <fill>
        <patternFill patternType="solid">
          <fgColor indexed="64"/>
          <bgColor theme="9" tint="0.59999389629810485"/>
        </patternFill>
      </fill>
    </dxf>
    <dxf>
      <fill>
        <patternFill>
          <fgColor indexed="64"/>
          <bgColor theme="9" tint="0.59999389629810485"/>
        </patternFill>
      </fill>
    </dxf>
    <dxf>
      <fill>
        <patternFill>
          <fgColor indexed="64"/>
          <bgColor theme="9" tint="0.59999389629810485"/>
        </patternFill>
      </fill>
    </dxf>
    <dxf>
      <fill>
        <patternFill>
          <fgColor indexed="64"/>
          <bgColor theme="9" tint="0.59999389629810485"/>
        </patternFill>
      </fill>
    </dxf>
    <dxf>
      <font>
        <b/>
        <i val="0"/>
        <strike val="0"/>
        <condense val="0"/>
        <extend val="0"/>
        <outline val="0"/>
        <shadow val="0"/>
        <u val="none"/>
        <vertAlign val="baseline"/>
        <sz val="14"/>
        <color theme="1"/>
        <name val="Calibri"/>
        <family val="2"/>
        <scheme val="minor"/>
      </font>
      <fill>
        <patternFill patternType="solid">
          <fgColor indexed="64"/>
          <bgColor rgb="FF0B2341"/>
        </patternFill>
      </fill>
    </dxf>
    <dxf>
      <numFmt numFmtId="165" formatCode="\$#,##0.00"/>
    </dxf>
    <dxf>
      <numFmt numFmtId="167" formatCode="yyyy\-mm\-dd;@"/>
    </dxf>
    <dxf>
      <font>
        <b/>
        <i val="0"/>
        <strike val="0"/>
        <condense val="0"/>
        <extend val="0"/>
        <outline val="0"/>
        <shadow val="0"/>
        <u val="none"/>
        <vertAlign val="baseline"/>
        <sz val="11"/>
        <color auto="1"/>
        <name val="Carlito"/>
        <scheme val="none"/>
      </font>
      <fill>
        <patternFill patternType="solid">
          <fgColor indexed="64"/>
          <bgColor rgb="FFD9EAF7"/>
        </patternFill>
      </fill>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B23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B2341"/>
                </a:solidFill>
              </a:rPr>
              <a:t>Booking Status Distribution</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6">
              <a:lumMod val="60000"/>
              <a:lumOff val="40000"/>
            </a:schemeClr>
          </a:solidFill>
          <a:ln>
            <a:noFill/>
          </a:ln>
          <a:effectLst/>
        </c:spPr>
      </c:pivotFmt>
      <c:pivotFmt>
        <c:idx val="5"/>
        <c:spPr>
          <a:solidFill>
            <a:srgbClr val="0B2341"/>
          </a:solidFill>
          <a:ln>
            <a:noFill/>
          </a:ln>
          <a:effectLst/>
        </c:spP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2341"/>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2341"/>
          </a:solidFill>
          <a:ln>
            <a:noFill/>
          </a:ln>
          <a:effectLst/>
        </c:spPr>
      </c:pivotFmt>
      <c:pivotFmt>
        <c:idx val="11"/>
        <c:spPr>
          <a:solidFill>
            <a:schemeClr val="accent6">
              <a:lumMod val="40000"/>
              <a:lumOff val="60000"/>
            </a:schemeClr>
          </a:solidFill>
          <a:ln>
            <a:noFill/>
          </a:ln>
          <a:effectLst/>
        </c:spPr>
      </c:pivotFmt>
    </c:pivotFmts>
    <c:plotArea>
      <c:layout/>
      <c:barChart>
        <c:barDir val="col"/>
        <c:grouping val="clustered"/>
        <c:varyColors val="0"/>
        <c:ser>
          <c:idx val="0"/>
          <c:order val="0"/>
          <c:tx>
            <c:v>Total</c:v>
          </c:tx>
          <c:spPr>
            <a:solidFill>
              <a:schemeClr val="accent6">
                <a:lumMod val="60000"/>
                <a:lumOff val="40000"/>
              </a:schemeClr>
            </a:solidFill>
            <a:ln>
              <a:noFill/>
            </a:ln>
            <a:effectLst/>
          </c:spPr>
          <c:invertIfNegative val="0"/>
          <c:dPt>
            <c:idx val="1"/>
            <c:invertIfNegative val="0"/>
            <c:bubble3D val="0"/>
            <c:spPr>
              <a:solidFill>
                <a:srgbClr val="0B2341"/>
              </a:solidFill>
              <a:ln>
                <a:noFill/>
              </a:ln>
              <a:effectLst/>
            </c:spPr>
            <c:extLst>
              <c:ext xmlns:c16="http://schemas.microsoft.com/office/drawing/2014/chart" uri="{C3380CC4-5D6E-409C-BE32-E72D297353CC}">
                <c16:uniqueId val="{00000001-91CD-4DC1-800F-45924C6A22E4}"/>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91CD-4DC1-800F-45924C6A22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4-91CD-4DC1-800F-45924C6A22E4}"/>
            </c:ext>
          </c:extLst>
        </c:ser>
        <c:dLbls>
          <c:dLblPos val="outEnd"/>
          <c:showLegendKey val="0"/>
          <c:showVal val="1"/>
          <c:showCatName val="0"/>
          <c:showSerName val="0"/>
          <c:showPercent val="0"/>
          <c:showBubbleSize val="0"/>
        </c:dLbls>
        <c:gapWidth val="219"/>
        <c:overlap val="-27"/>
        <c:axId val="655734368"/>
        <c:axId val="664691360"/>
      </c:barChart>
      <c:catAx>
        <c:axId val="65573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91360"/>
        <c:crosses val="autoZero"/>
        <c:auto val="1"/>
        <c:lblAlgn val="ctr"/>
        <c:lblOffset val="100"/>
        <c:noMultiLvlLbl val="0"/>
      </c:catAx>
      <c:valAx>
        <c:axId val="66469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3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Customer Type Distribution</a:t>
            </a:r>
            <a:endParaRPr lang="en-US"/>
          </a:p>
        </c:rich>
      </c:tx>
      <c:layout>
        <c:manualLayout>
          <c:xMode val="edge"/>
          <c:yMode val="edge"/>
          <c:x val="0.20027230412212099"/>
          <c:y val="0.1872070709704333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60000"/>
              <a:lumOff val="40000"/>
            </a:schemeClr>
          </a:solidFill>
          <a:ln>
            <a:noFill/>
          </a:ln>
          <a:effectLst/>
        </c:spPr>
      </c:pivotFmt>
      <c:pivotFmt>
        <c:idx val="6"/>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s>
    <c:plotArea>
      <c:layout/>
      <c:barChart>
        <c:barDir val="bar"/>
        <c:grouping val="stacked"/>
        <c:varyColors val="0"/>
        <c:ser>
          <c:idx val="0"/>
          <c:order val="0"/>
          <c:tx>
            <c:v>Total</c:v>
          </c:tx>
          <c:spPr>
            <a:solidFill>
              <a:srgbClr val="0B234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0710-4310-9B75-46B118F04FA0}"/>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710-4310-9B75-46B118F04F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Corporate</c:v>
              </c:pt>
              <c:pt idx="1">
                <c:v>New</c:v>
              </c:pt>
              <c:pt idx="2">
                <c:v>Returning</c:v>
              </c:pt>
            </c:strLit>
          </c:cat>
          <c:val>
            <c:numLit>
              <c:formatCode>General</c:formatCode>
              <c:ptCount val="3"/>
              <c:pt idx="0">
                <c:v>57</c:v>
              </c:pt>
              <c:pt idx="1">
                <c:v>135</c:v>
              </c:pt>
              <c:pt idx="2">
                <c:v>100</c:v>
              </c:pt>
            </c:numLit>
          </c:val>
          <c:extLst>
            <c:ext xmlns:c16="http://schemas.microsoft.com/office/drawing/2014/chart" uri="{C3380CC4-5D6E-409C-BE32-E72D297353CC}">
              <c16:uniqueId val="{00000004-0710-4310-9B75-46B118F04FA0}"/>
            </c:ext>
          </c:extLst>
        </c:ser>
        <c:dLbls>
          <c:dLblPos val="ctr"/>
          <c:showLegendKey val="0"/>
          <c:showVal val="1"/>
          <c:showCatName val="0"/>
          <c:showSerName val="0"/>
          <c:showPercent val="0"/>
          <c:showBubbleSize val="0"/>
        </c:dLbls>
        <c:gapWidth val="219"/>
        <c:overlap val="100"/>
        <c:axId val="840141360"/>
        <c:axId val="843793904"/>
      </c:barChart>
      <c:catAx>
        <c:axId val="84014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3904"/>
        <c:crosses val="autoZero"/>
        <c:auto val="1"/>
        <c:lblAlgn val="ctr"/>
        <c:lblOffset val="100"/>
        <c:noMultiLvlLbl val="0"/>
      </c:catAx>
      <c:valAx>
        <c:axId val="84379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4136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Nights by Customer Type</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pivotFmt>
      <c:pivotFmt>
        <c:idx val="4"/>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rgbClr val="0B2341"/>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rgbClr val="0B2341"/>
          </a:solidFill>
          <a:ln>
            <a:noFill/>
          </a:ln>
          <a:effectLst/>
        </c:spPr>
      </c:pivotFmt>
    </c:pivotFmts>
    <c:plotArea>
      <c:layout/>
      <c:pieChart>
        <c:varyColors val="1"/>
        <c:ser>
          <c:idx val="0"/>
          <c:order val="0"/>
          <c:tx>
            <c:v>Total</c:v>
          </c:tx>
          <c:spPr>
            <a:solidFill>
              <a:srgbClr val="0B2341"/>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173C-4BFF-A635-8FB62952F761}"/>
              </c:ext>
            </c:extLst>
          </c:dPt>
          <c:dPt>
            <c:idx val="1"/>
            <c:bubble3D val="0"/>
            <c:spPr>
              <a:solidFill>
                <a:schemeClr val="accent6">
                  <a:lumMod val="40000"/>
                  <a:lumOff val="60000"/>
                </a:schemeClr>
              </a:solidFill>
              <a:ln>
                <a:noFill/>
              </a:ln>
              <a:effectLst/>
            </c:spPr>
            <c:extLst>
              <c:ext xmlns:c16="http://schemas.microsoft.com/office/drawing/2014/chart" uri="{C3380CC4-5D6E-409C-BE32-E72D297353CC}">
                <c16:uniqueId val="{00000003-173C-4BFF-A635-8FB62952F761}"/>
              </c:ext>
            </c:extLst>
          </c:dPt>
          <c:dPt>
            <c:idx val="2"/>
            <c:bubble3D val="0"/>
            <c:spPr>
              <a:solidFill>
                <a:srgbClr val="0B2341"/>
              </a:solidFill>
              <a:ln>
                <a:noFill/>
              </a:ln>
              <a:effectLst/>
            </c:spPr>
            <c:extLst>
              <c:ext xmlns:c16="http://schemas.microsoft.com/office/drawing/2014/chart" uri="{C3380CC4-5D6E-409C-BE32-E72D297353CC}">
                <c16:uniqueId val="{00000005-173C-4BFF-A635-8FB62952F7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6-173C-4BFF-A635-8FB62952F7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Room Type Distribution</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20000"/>
              <a:lumOff val="80000"/>
            </a:schemeClr>
          </a:solidFill>
          <a:ln>
            <a:noFill/>
          </a:ln>
          <a:effectLst/>
        </c:spPr>
      </c:pivotFmt>
      <c:pivotFmt>
        <c:idx val="3"/>
        <c:spPr>
          <a:solidFill>
            <a:srgbClr val="0B2341"/>
          </a:solidFill>
          <a:ln>
            <a:noFill/>
          </a:ln>
          <a:effectLst/>
        </c:spPr>
      </c:pivotFmt>
      <c:pivotFmt>
        <c:idx val="4"/>
        <c:spPr>
          <a:solidFill>
            <a:srgbClr val="0B2341"/>
          </a:solidFill>
          <a:ln>
            <a:noFill/>
          </a:ln>
          <a:effectLst/>
        </c:spPr>
      </c:pivotFmt>
      <c:pivotFmt>
        <c:idx val="5"/>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B2341"/>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60000"/>
              <a:lumOff val="40000"/>
            </a:schemeClr>
          </a:solidFill>
          <a:ln>
            <a:noFill/>
          </a:ln>
          <a:effectLst/>
        </c:spPr>
      </c:pivotFmt>
      <c:pivotFmt>
        <c:idx val="9"/>
        <c:spPr>
          <a:solidFill>
            <a:srgbClr val="0B2341"/>
          </a:solidFill>
          <a:ln>
            <a:noFill/>
          </a:ln>
          <a:effectLst/>
        </c:spPr>
      </c:pivotFmt>
      <c:pivotFmt>
        <c:idx val="1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60000"/>
              <a:lumOff val="40000"/>
            </a:schemeClr>
          </a:solidFill>
          <a:ln>
            <a:noFill/>
          </a:ln>
          <a:effectLst/>
        </c:spPr>
      </c:pivotFmt>
      <c:pivotFmt>
        <c:idx val="14"/>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pieChart>
        <c:varyColors val="1"/>
        <c:ser>
          <c:idx val="0"/>
          <c:order val="0"/>
          <c:tx>
            <c:v>Total</c:v>
          </c:tx>
          <c:spPr>
            <a:solidFill>
              <a:srgbClr val="0B2341"/>
            </a:solidFill>
          </c:spPr>
          <c:dPt>
            <c:idx val="0"/>
            <c:bubble3D val="0"/>
            <c:spPr>
              <a:solidFill>
                <a:srgbClr val="0B2341"/>
              </a:solidFill>
              <a:ln>
                <a:noFill/>
              </a:ln>
              <a:effectLst/>
            </c:spPr>
            <c:extLst>
              <c:ext xmlns:c16="http://schemas.microsoft.com/office/drawing/2014/chart" uri="{C3380CC4-5D6E-409C-BE32-E72D297353CC}">
                <c16:uniqueId val="{00000001-7693-4BA0-A725-0A4E6DEBE2E9}"/>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7693-4BA0-A725-0A4E6DEBE2E9}"/>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7693-4BA0-A725-0A4E6DEBE2E9}"/>
              </c:ext>
            </c:extLst>
          </c:dPt>
          <c:dPt>
            <c:idx val="3"/>
            <c:bubble3D val="0"/>
            <c:spPr>
              <a:solidFill>
                <a:srgbClr val="0B2341"/>
              </a:solidFill>
              <a:ln>
                <a:noFill/>
              </a:ln>
              <a:effectLst/>
            </c:spPr>
            <c:extLst>
              <c:ext xmlns:c16="http://schemas.microsoft.com/office/drawing/2014/chart" uri="{C3380CC4-5D6E-409C-BE32-E72D297353CC}">
                <c16:uniqueId val="{00000007-7693-4BA0-A725-0A4E6DEBE2E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7693-4BA0-A725-0A4E6DEBE2E9}"/>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7-7693-4BA0-A725-0A4E6DEBE2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Deluxe</c:v>
              </c:pt>
              <c:pt idx="1">
                <c:v>Family</c:v>
              </c:pt>
              <c:pt idx="2">
                <c:v>Standard</c:v>
              </c:pt>
              <c:pt idx="3">
                <c:v>Suite</c:v>
              </c:pt>
            </c:strLit>
          </c:cat>
          <c:val>
            <c:numLit>
              <c:formatCode>General</c:formatCode>
              <c:ptCount val="4"/>
              <c:pt idx="0">
                <c:v>69</c:v>
              </c:pt>
              <c:pt idx="1">
                <c:v>41</c:v>
              </c:pt>
              <c:pt idx="2">
                <c:v>144</c:v>
              </c:pt>
              <c:pt idx="3">
                <c:v>38</c:v>
              </c:pt>
            </c:numLit>
          </c:val>
          <c:extLst>
            <c:ext xmlns:c16="http://schemas.microsoft.com/office/drawing/2014/chart" uri="{C3380CC4-5D6E-409C-BE32-E72D297353CC}">
              <c16:uniqueId val="{00000008-7693-4BA0-A725-0A4E6DEBE2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 Average Room Rate by Room Type</a:t>
            </a:r>
            <a:endParaRPr lang="en-US" sz="1200"/>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chemeClr val="accent6">
              <a:lumMod val="75000"/>
            </a:schemeClr>
          </a:solidFill>
          <a:ln>
            <a:noFill/>
          </a:ln>
          <a:effectLst/>
        </c:spPr>
      </c:pivotFmt>
      <c:pivotFmt>
        <c:idx val="4"/>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75000"/>
            </a:schemeClr>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75000"/>
            </a:schemeClr>
          </a:solidFill>
          <a:ln>
            <a:noFill/>
          </a:ln>
          <a:effectLst/>
        </c:spPr>
      </c:pivotFmt>
    </c:pivotFmts>
    <c:plotArea>
      <c:layout/>
      <c:barChart>
        <c:barDir val="col"/>
        <c:grouping val="clustered"/>
        <c:varyColors val="0"/>
        <c:ser>
          <c:idx val="0"/>
          <c:order val="0"/>
          <c:tx>
            <c:v>Total</c:v>
          </c:tx>
          <c:spPr>
            <a:solidFill>
              <a:srgbClr val="0B234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9756-4F8A-A74D-68582848751D}"/>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9756-4F8A-A74D-68582848751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9756-4F8A-A74D-6858284875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6-9756-4F8A-A74D-68582848751D}"/>
            </c:ext>
          </c:extLst>
        </c:ser>
        <c:dLbls>
          <c:dLblPos val="outEnd"/>
          <c:showLegendKey val="0"/>
          <c:showVal val="1"/>
          <c:showCatName val="0"/>
          <c:showSerName val="0"/>
          <c:showPercent val="0"/>
          <c:showBubbleSize val="0"/>
        </c:dLbls>
        <c:gapWidth val="219"/>
        <c:axId val="825788256"/>
        <c:axId val="843797648"/>
      </c:barChart>
      <c:catAx>
        <c:axId val="8257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7648"/>
        <c:crosses val="autoZero"/>
        <c:auto val="1"/>
        <c:lblAlgn val="ctr"/>
        <c:lblOffset val="100"/>
        <c:noMultiLvlLbl val="0"/>
      </c:catAx>
      <c:valAx>
        <c:axId val="8437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8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Booking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rgbClr val="0B2341"/>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50000"/>
            </a:schemeClr>
          </a:solidFill>
          <a:ln>
            <a:noFill/>
          </a:ln>
          <a:effectLst/>
        </c:spPr>
      </c:pivotFmt>
      <c:pivotFmt>
        <c:idx val="4"/>
        <c:spPr>
          <a:solidFill>
            <a:schemeClr val="accent6"/>
          </a:solidFill>
          <a:ln>
            <a:noFill/>
          </a:ln>
          <a:effectLst/>
        </c:spPr>
        <c:marker>
          <c:symbol val="none"/>
        </c:marker>
      </c:pivotFmt>
      <c:pivotFmt>
        <c:idx val="5"/>
        <c:spPr>
          <a:solidFill>
            <a:schemeClr val="accent6">
              <a:lumMod val="50000"/>
            </a:schemeClr>
          </a:solidFill>
          <a:ln>
            <a:noFill/>
          </a:ln>
          <a:effectLst/>
        </c:spPr>
      </c:pivotFmt>
      <c:pivotFmt>
        <c:idx val="6"/>
        <c:spPr>
          <a:solidFill>
            <a:srgbClr val="0B2341"/>
          </a:solidFill>
          <a:ln>
            <a:noFill/>
          </a:ln>
          <a:effectLst/>
        </c:spPr>
      </c:pivotFmt>
      <c:pivotFmt>
        <c:idx val="7"/>
        <c:spPr>
          <a:solidFill>
            <a:schemeClr val="accent6">
              <a:lumMod val="60000"/>
              <a:lumOff val="40000"/>
            </a:schemeClr>
          </a:solidFill>
          <a:ln>
            <a:noFill/>
          </a:ln>
          <a:effectLst/>
        </c:spPr>
      </c:pivotFmt>
      <c:pivotFmt>
        <c:idx val="8"/>
        <c:spPr>
          <a:solidFill>
            <a:schemeClr val="accent6"/>
          </a:solidFill>
          <a:ln>
            <a:noFill/>
          </a:ln>
          <a:effectLst/>
        </c:spPr>
        <c:marker>
          <c:symbol val="none"/>
        </c:marker>
      </c:pivotFmt>
      <c:pivotFmt>
        <c:idx val="9"/>
        <c:spPr>
          <a:solidFill>
            <a:schemeClr val="accent6">
              <a:lumMod val="50000"/>
            </a:schemeClr>
          </a:solidFill>
          <a:ln>
            <a:noFill/>
          </a:ln>
          <a:effectLst/>
        </c:spPr>
      </c:pivotFmt>
      <c:pivotFmt>
        <c:idx val="10"/>
        <c:spPr>
          <a:solidFill>
            <a:srgbClr val="0B2341"/>
          </a:solidFill>
          <a:ln>
            <a:noFill/>
          </a:ln>
          <a:effectLst/>
        </c:spPr>
      </c:pivotFmt>
      <c:pivotFmt>
        <c:idx val="11"/>
        <c:spPr>
          <a:solidFill>
            <a:schemeClr val="accent6">
              <a:lumMod val="60000"/>
              <a:lumOff val="40000"/>
            </a:schemeClr>
          </a:solidFill>
          <a:ln>
            <a:noFill/>
          </a:ln>
          <a:effectLst/>
        </c:spPr>
      </c:pivotFmt>
    </c:pivotFmts>
    <c:plotArea>
      <c:layout/>
      <c:barChart>
        <c:barDir val="col"/>
        <c:grouping val="clustered"/>
        <c:varyColors val="0"/>
        <c:ser>
          <c:idx val="0"/>
          <c:order val="0"/>
          <c:tx>
            <c:v>Total</c:v>
          </c:tx>
          <c:spPr>
            <a:solidFill>
              <a:schemeClr val="accent6"/>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D437-49B9-9AF9-4F3D27CCEB10}"/>
              </c:ext>
            </c:extLst>
          </c:dPt>
          <c:dPt>
            <c:idx val="1"/>
            <c:invertIfNegative val="0"/>
            <c:bubble3D val="0"/>
            <c:spPr>
              <a:solidFill>
                <a:srgbClr val="0B2341"/>
              </a:solidFill>
              <a:ln>
                <a:noFill/>
              </a:ln>
              <a:effectLst/>
            </c:spPr>
            <c:extLst>
              <c:ext xmlns:c16="http://schemas.microsoft.com/office/drawing/2014/chart" uri="{C3380CC4-5D6E-409C-BE32-E72D297353CC}">
                <c16:uniqueId val="{00000003-D437-49B9-9AF9-4F3D27CCEB10}"/>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D437-49B9-9AF9-4F3D27CCEB10}"/>
              </c:ext>
            </c:extLst>
          </c:dPt>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6-D437-49B9-9AF9-4F3D27CCEB10}"/>
            </c:ext>
          </c:extLst>
        </c:ser>
        <c:dLbls>
          <c:showLegendKey val="0"/>
          <c:showVal val="0"/>
          <c:showCatName val="0"/>
          <c:showSerName val="0"/>
          <c:showPercent val="0"/>
          <c:showBubbleSize val="0"/>
        </c:dLbls>
        <c:gapWidth val="219"/>
        <c:overlap val="-27"/>
        <c:axId val="1094316208"/>
        <c:axId val="1019787408"/>
      </c:barChart>
      <c:catAx>
        <c:axId val="10943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87408"/>
        <c:crosses val="autoZero"/>
        <c:auto val="1"/>
        <c:lblAlgn val="ctr"/>
        <c:lblOffset val="100"/>
        <c:noMultiLvlLbl val="0"/>
      </c:catAx>
      <c:valAx>
        <c:axId val="10197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 Status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58000"/>
            </a:schemeClr>
          </a:solidFill>
          <a:ln>
            <a:noFill/>
          </a:ln>
          <a:effectLst/>
        </c:spPr>
      </c:pivotFmt>
      <c:pivotFmt>
        <c:idx val="7"/>
        <c:spPr>
          <a:solidFill>
            <a:srgbClr val="0B2341"/>
          </a:solidFill>
          <a:ln>
            <a:noFill/>
          </a:ln>
          <a:effectLst/>
        </c:spPr>
      </c:pivotFmt>
      <c:pivotFmt>
        <c:idx val="8"/>
        <c:spPr>
          <a:solidFill>
            <a:schemeClr val="accent6">
              <a:tint val="86000"/>
            </a:schemeClr>
          </a:solidFill>
          <a:ln>
            <a:noFill/>
          </a:ln>
          <a:effectLst/>
        </c:spPr>
      </c:pivotFmt>
      <c:pivotFmt>
        <c:idx val="9"/>
        <c:spPr>
          <a:solidFill>
            <a:schemeClr val="accent6">
              <a:tint val="58000"/>
            </a:schemeClr>
          </a:solidFill>
          <a:ln>
            <a:noFill/>
          </a:ln>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58000"/>
            </a:schemeClr>
          </a:solidFill>
          <a:ln>
            <a:noFill/>
          </a:ln>
          <a:effectLst/>
        </c:spPr>
      </c:pivotFmt>
      <c:pivotFmt>
        <c:idx val="12"/>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6">
              <a:tint val="86000"/>
            </a:schemeClr>
          </a:solidFill>
          <a:ln>
            <a:noFill/>
          </a:ln>
          <a:effectLst/>
        </c:spPr>
      </c:pivotFmt>
      <c:pivotFmt>
        <c:idx val="14"/>
        <c:spPr>
          <a:solidFill>
            <a:schemeClr val="accent6">
              <a:tint val="58000"/>
            </a:schemeClr>
          </a:solidFill>
          <a:ln>
            <a:noFill/>
          </a:ln>
          <a:effectLst/>
        </c:spPr>
      </c:pivotFmt>
    </c:pivotFmts>
    <c:plotArea>
      <c:layout/>
      <c:pieChart>
        <c:varyColors val="1"/>
        <c:ser>
          <c:idx val="0"/>
          <c:order val="0"/>
          <c:tx>
            <c:v>Total</c:v>
          </c:tx>
          <c:dPt>
            <c:idx val="0"/>
            <c:bubble3D val="0"/>
            <c:spPr>
              <a:solidFill>
                <a:schemeClr val="accent6">
                  <a:shade val="58000"/>
                </a:schemeClr>
              </a:solidFill>
              <a:ln>
                <a:noFill/>
              </a:ln>
              <a:effectLst/>
            </c:spPr>
            <c:extLst>
              <c:ext xmlns:c16="http://schemas.microsoft.com/office/drawing/2014/chart" uri="{C3380CC4-5D6E-409C-BE32-E72D297353CC}">
                <c16:uniqueId val="{00000001-3168-4B0A-9870-6B832D1C51C2}"/>
              </c:ext>
            </c:extLst>
          </c:dPt>
          <c:dPt>
            <c:idx val="1"/>
            <c:bubble3D val="0"/>
            <c:spPr>
              <a:solidFill>
                <a:srgbClr val="0B2341"/>
              </a:solidFill>
              <a:ln>
                <a:noFill/>
              </a:ln>
              <a:effectLst/>
            </c:spPr>
            <c:extLst>
              <c:ext xmlns:c16="http://schemas.microsoft.com/office/drawing/2014/chart" uri="{C3380CC4-5D6E-409C-BE32-E72D297353CC}">
                <c16:uniqueId val="{00000003-3168-4B0A-9870-6B832D1C51C2}"/>
              </c:ext>
            </c:extLst>
          </c:dPt>
          <c:dPt>
            <c:idx val="2"/>
            <c:bubble3D val="0"/>
            <c:spPr>
              <a:solidFill>
                <a:schemeClr val="accent6">
                  <a:tint val="86000"/>
                </a:schemeClr>
              </a:solidFill>
              <a:ln>
                <a:noFill/>
              </a:ln>
              <a:effectLst/>
            </c:spPr>
            <c:extLst>
              <c:ext xmlns:c16="http://schemas.microsoft.com/office/drawing/2014/chart" uri="{C3380CC4-5D6E-409C-BE32-E72D297353CC}">
                <c16:uniqueId val="{00000005-3168-4B0A-9870-6B832D1C51C2}"/>
              </c:ext>
            </c:extLst>
          </c:dPt>
          <c:dPt>
            <c:idx val="3"/>
            <c:bubble3D val="0"/>
            <c:spPr>
              <a:solidFill>
                <a:schemeClr val="accent6">
                  <a:tint val="58000"/>
                </a:schemeClr>
              </a:solidFill>
              <a:ln>
                <a:noFill/>
              </a:ln>
              <a:effectLst/>
            </c:spPr>
            <c:extLst>
              <c:ext xmlns:c16="http://schemas.microsoft.com/office/drawing/2014/chart" uri="{C3380CC4-5D6E-409C-BE32-E72D297353CC}">
                <c16:uniqueId val="{00000007-3168-4B0A-9870-6B832D1C51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8-3168-4B0A-9870-6B832D1C51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Room Rate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B2341"/>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1"/>
          </a:solidFill>
          <a:ln>
            <a:noFill/>
          </a:ln>
          <a:effectLst/>
        </c:spPr>
        <c:marker>
          <c:symbol val="none"/>
        </c:marke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20000"/>
              <a:lumOff val="80000"/>
            </a:schemeClr>
          </a:solidFill>
          <a:ln>
            <a:noFill/>
          </a:ln>
          <a:effectLst/>
        </c:spPr>
      </c:pivotFmt>
      <c:pivotFmt>
        <c:idx val="10"/>
        <c:spPr>
          <a:solidFill>
            <a:srgbClr val="0B2341"/>
          </a:solidFill>
          <a:ln>
            <a:noFill/>
          </a:ln>
          <a:effectLst/>
        </c:spPr>
      </c:pivotFmt>
      <c:pivotFmt>
        <c:idx val="11"/>
        <c:spPr>
          <a:solidFill>
            <a:schemeClr val="accent1"/>
          </a:solidFill>
          <a:ln>
            <a:noFill/>
          </a:ln>
          <a:effectLst/>
        </c:spPr>
        <c:marker>
          <c:symbol val="none"/>
        </c:marker>
      </c:pivotFmt>
      <c:pivotFmt>
        <c:idx val="12"/>
        <c:spPr>
          <a:solidFill>
            <a:schemeClr val="accent6">
              <a:lumMod val="75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20000"/>
              <a:lumOff val="80000"/>
            </a:schemeClr>
          </a:solidFill>
          <a:ln>
            <a:noFill/>
          </a:ln>
          <a:effectLst/>
        </c:spPr>
      </c:pivotFmt>
      <c:pivotFmt>
        <c:idx val="15"/>
        <c:spPr>
          <a:solidFill>
            <a:srgbClr val="0B234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2FF-44C0-9581-88A0CA46170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D2FF-44C0-9581-88A0CA461700}"/>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D2FF-44C0-9581-88A0CA461700}"/>
              </c:ext>
            </c:extLst>
          </c:dPt>
          <c:dPt>
            <c:idx val="3"/>
            <c:invertIfNegative val="0"/>
            <c:bubble3D val="0"/>
            <c:spPr>
              <a:solidFill>
                <a:srgbClr val="0B2341"/>
              </a:solidFill>
              <a:ln>
                <a:noFill/>
              </a:ln>
              <a:effectLst/>
            </c:spPr>
            <c:extLst>
              <c:ext xmlns:c16="http://schemas.microsoft.com/office/drawing/2014/chart" uri="{C3380CC4-5D6E-409C-BE32-E72D297353CC}">
                <c16:uniqueId val="{00000007-D2FF-44C0-9581-88A0CA461700}"/>
              </c:ext>
            </c:extLst>
          </c:dPt>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8-D2FF-44C0-9581-88A0CA461700}"/>
            </c:ext>
          </c:extLst>
        </c:ser>
        <c:dLbls>
          <c:showLegendKey val="0"/>
          <c:showVal val="0"/>
          <c:showCatName val="0"/>
          <c:showSerName val="0"/>
          <c:showPercent val="0"/>
          <c:showBubbleSize val="0"/>
        </c:dLbls>
        <c:gapWidth val="219"/>
        <c:axId val="1144928384"/>
        <c:axId val="821312864"/>
      </c:barChart>
      <c:catAx>
        <c:axId val="114492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12864"/>
        <c:crosses val="autoZero"/>
        <c:auto val="1"/>
        <c:lblAlgn val="ctr"/>
        <c:lblOffset val="100"/>
        <c:noMultiLvlLbl val="0"/>
      </c:catAx>
      <c:valAx>
        <c:axId val="8213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0B234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hade val="58000"/>
            </a:schemeClr>
          </a:solidFill>
          <a:ln>
            <a:noFill/>
          </a:ln>
          <a:effectLst/>
        </c:spPr>
      </c:pivotFmt>
      <c:pivotFmt>
        <c:idx val="7"/>
        <c:spPr>
          <a:solidFill>
            <a:srgbClr val="0B2341"/>
          </a:solidFill>
          <a:ln>
            <a:noFill/>
          </a:ln>
          <a:effectLst/>
        </c:spPr>
      </c:pivotFmt>
      <c:pivotFmt>
        <c:idx val="8"/>
        <c:spPr>
          <a:solidFill>
            <a:schemeClr val="accent6">
              <a:tint val="86000"/>
            </a:schemeClr>
          </a:solidFill>
          <a:ln>
            <a:noFill/>
          </a:ln>
          <a:effectLst/>
        </c:spPr>
      </c:pivotFmt>
      <c:pivotFmt>
        <c:idx val="9"/>
        <c:spPr>
          <a:solidFill>
            <a:schemeClr val="accent6">
              <a:tint val="58000"/>
            </a:schemeClr>
          </a:solidFill>
          <a:ln>
            <a:noFill/>
          </a:ln>
          <a:effectLst/>
        </c:spP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58000"/>
            </a:schemeClr>
          </a:solidFill>
          <a:ln>
            <a:noFill/>
          </a:ln>
          <a:effectLst/>
        </c:spPr>
      </c:pivotFmt>
      <c:pivotFmt>
        <c:idx val="12"/>
        <c:spPr>
          <a:solidFill>
            <a:srgbClr val="0B2341"/>
          </a:solidFill>
          <a:ln>
            <a:noFill/>
          </a:ln>
          <a:effectLst/>
        </c:spPr>
      </c:pivotFmt>
      <c:pivotFmt>
        <c:idx val="13"/>
        <c:spPr>
          <a:solidFill>
            <a:schemeClr val="accent6">
              <a:tint val="86000"/>
            </a:schemeClr>
          </a:solidFill>
          <a:ln>
            <a:noFill/>
          </a:ln>
          <a:effectLst/>
        </c:spPr>
      </c:pivotFmt>
      <c:pivotFmt>
        <c:idx val="14"/>
        <c:spPr>
          <a:solidFill>
            <a:schemeClr val="accent6">
              <a:tint val="58000"/>
            </a:schemeClr>
          </a:solidFill>
          <a:ln>
            <a:noFill/>
          </a:ln>
          <a:effectLst/>
        </c:spPr>
      </c:pivotFmt>
    </c:pivotFmts>
    <c:plotArea>
      <c:layout/>
      <c:pieChart>
        <c:varyColors val="1"/>
        <c:ser>
          <c:idx val="0"/>
          <c:order val="0"/>
          <c:tx>
            <c:v>Total</c:v>
          </c:tx>
          <c:dPt>
            <c:idx val="0"/>
            <c:bubble3D val="0"/>
            <c:spPr>
              <a:solidFill>
                <a:schemeClr val="accent6">
                  <a:shade val="58000"/>
                </a:schemeClr>
              </a:solidFill>
              <a:ln>
                <a:noFill/>
              </a:ln>
              <a:effectLst/>
            </c:spPr>
            <c:extLst>
              <c:ext xmlns:c16="http://schemas.microsoft.com/office/drawing/2014/chart" uri="{C3380CC4-5D6E-409C-BE32-E72D297353CC}">
                <c16:uniqueId val="{00000001-ED52-48FF-ACCE-C6798FA03C42}"/>
              </c:ext>
            </c:extLst>
          </c:dPt>
          <c:dPt>
            <c:idx val="1"/>
            <c:bubble3D val="0"/>
            <c:spPr>
              <a:solidFill>
                <a:srgbClr val="0B2341"/>
              </a:solidFill>
              <a:ln>
                <a:noFill/>
              </a:ln>
              <a:effectLst/>
            </c:spPr>
            <c:extLst>
              <c:ext xmlns:c16="http://schemas.microsoft.com/office/drawing/2014/chart" uri="{C3380CC4-5D6E-409C-BE32-E72D297353CC}">
                <c16:uniqueId val="{00000003-ED52-48FF-ACCE-C6798FA03C42}"/>
              </c:ext>
            </c:extLst>
          </c:dPt>
          <c:dPt>
            <c:idx val="2"/>
            <c:bubble3D val="0"/>
            <c:spPr>
              <a:solidFill>
                <a:schemeClr val="accent6">
                  <a:tint val="86000"/>
                </a:schemeClr>
              </a:solidFill>
              <a:ln>
                <a:noFill/>
              </a:ln>
              <a:effectLst/>
            </c:spPr>
            <c:extLst>
              <c:ext xmlns:c16="http://schemas.microsoft.com/office/drawing/2014/chart" uri="{C3380CC4-5D6E-409C-BE32-E72D297353CC}">
                <c16:uniqueId val="{00000005-ED52-48FF-ACCE-C6798FA03C42}"/>
              </c:ext>
            </c:extLst>
          </c:dPt>
          <c:dPt>
            <c:idx val="3"/>
            <c:bubble3D val="0"/>
            <c:spPr>
              <a:solidFill>
                <a:schemeClr val="accent6">
                  <a:tint val="58000"/>
                </a:schemeClr>
              </a:solidFill>
              <a:ln>
                <a:noFill/>
              </a:ln>
              <a:effectLst/>
            </c:spPr>
            <c:extLst>
              <c:ext xmlns:c16="http://schemas.microsoft.com/office/drawing/2014/chart" uri="{C3380CC4-5D6E-409C-BE32-E72D297353CC}">
                <c16:uniqueId val="{00000007-ED52-48FF-ACCE-C6798FA03C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8-ED52-48FF-ACCE-C6798FA03C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Nights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B2341"/>
          </a:solidFill>
          <a:ln>
            <a:noFill/>
          </a:ln>
          <a:effectLst/>
        </c:spPr>
      </c:pivotFmt>
      <c:pivotFmt>
        <c:idx val="2"/>
        <c:spPr>
          <a:solidFill>
            <a:schemeClr val="accent6">
              <a:lumMod val="50000"/>
            </a:schemeClr>
          </a:solidFill>
          <a:ln>
            <a:solidFill>
              <a:schemeClr val="accent6">
                <a:lumMod val="50000"/>
              </a:schemeClr>
            </a:solidFill>
          </a:ln>
          <a:effectLst/>
        </c:spPr>
      </c:pivotFmt>
      <c:pivotFmt>
        <c:idx val="3"/>
        <c:spPr>
          <a:solidFill>
            <a:schemeClr val="accent6">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
        <c:idx val="6"/>
        <c:spPr>
          <a:solidFill>
            <a:schemeClr val="accent6">
              <a:lumMod val="50000"/>
            </a:schemeClr>
          </a:solidFill>
          <a:ln>
            <a:solidFill>
              <a:schemeClr val="accent6">
                <a:lumMod val="50000"/>
              </a:schemeClr>
            </a:solidFill>
          </a:ln>
          <a:effectLst/>
        </c:spPr>
      </c:pivotFmt>
      <c:pivotFmt>
        <c:idx val="7"/>
        <c:spPr>
          <a:solidFill>
            <a:srgbClr val="0B234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a:noFill/>
          </a:ln>
          <a:effectLst/>
        </c:spPr>
      </c:pivotFmt>
      <c:pivotFmt>
        <c:idx val="10"/>
        <c:spPr>
          <a:solidFill>
            <a:schemeClr val="accent6">
              <a:lumMod val="50000"/>
            </a:schemeClr>
          </a:solidFill>
          <a:ln>
            <a:solidFill>
              <a:schemeClr val="accent6">
                <a:lumMod val="50000"/>
              </a:schemeClr>
            </a:solidFill>
          </a:ln>
          <a:effectLst/>
        </c:spPr>
      </c:pivotFmt>
      <c:pivotFmt>
        <c:idx val="11"/>
        <c:spPr>
          <a:solidFill>
            <a:srgbClr val="0B2341"/>
          </a:solidFill>
          <a:ln>
            <a:noFill/>
          </a:ln>
          <a:effectLst/>
        </c:spPr>
      </c:pivotFmt>
    </c:pivotFmts>
    <c:plotArea>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10C4-43D8-B47F-49B470067FBA}"/>
              </c:ext>
            </c:extLst>
          </c:dPt>
          <c:dPt>
            <c:idx val="1"/>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3-10C4-43D8-B47F-49B470067FBA}"/>
              </c:ext>
            </c:extLst>
          </c:dPt>
          <c:dPt>
            <c:idx val="2"/>
            <c:invertIfNegative val="0"/>
            <c:bubble3D val="0"/>
            <c:spPr>
              <a:solidFill>
                <a:srgbClr val="0B2341"/>
              </a:solidFill>
              <a:ln>
                <a:noFill/>
              </a:ln>
              <a:effectLst/>
            </c:spPr>
            <c:extLst>
              <c:ext xmlns:c16="http://schemas.microsoft.com/office/drawing/2014/chart" uri="{C3380CC4-5D6E-409C-BE32-E72D297353CC}">
                <c16:uniqueId val="{00000005-10C4-43D8-B47F-49B470067F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6-10C4-43D8-B47F-49B470067FBA}"/>
            </c:ext>
          </c:extLst>
        </c:ser>
        <c:dLbls>
          <c:dLblPos val="outEnd"/>
          <c:showLegendKey val="0"/>
          <c:showVal val="1"/>
          <c:showCatName val="0"/>
          <c:showSerName val="0"/>
          <c:showPercent val="0"/>
          <c:showBubbleSize val="0"/>
        </c:dLbls>
        <c:gapWidth val="219"/>
        <c:axId val="1155233456"/>
        <c:axId val="664938080"/>
      </c:barChart>
      <c:catAx>
        <c:axId val="11552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38080"/>
        <c:crosses val="autoZero"/>
        <c:auto val="1"/>
        <c:lblAlgn val="ctr"/>
        <c:lblOffset val="100"/>
        <c:noMultiLvlLbl val="0"/>
      </c:catAx>
      <c:valAx>
        <c:axId val="664938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3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B2341"/>
                </a:solidFill>
              </a:rPr>
              <a:t>Booking Status Distribution</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40000"/>
              <a:lumOff val="60000"/>
            </a:schemeClr>
          </a:solidFill>
          <a:ln>
            <a:noFill/>
          </a:ln>
          <a:effectLst/>
        </c:spPr>
      </c:pivotFmt>
      <c:pivotFmt>
        <c:idx val="4"/>
        <c:spPr>
          <a:solidFill>
            <a:schemeClr val="accent6">
              <a:lumMod val="60000"/>
              <a:lumOff val="40000"/>
            </a:schemeClr>
          </a:solidFill>
          <a:ln>
            <a:noFill/>
          </a:ln>
          <a:effectLst/>
        </c:spPr>
      </c:pivotFmt>
      <c:pivotFmt>
        <c:idx val="5"/>
        <c:spPr>
          <a:solidFill>
            <a:srgbClr val="0B2341"/>
          </a:solidFill>
          <a:ln>
            <a:noFill/>
          </a:ln>
          <a:effectLst/>
        </c:spPr>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2341"/>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2341"/>
          </a:solidFill>
          <a:ln>
            <a:noFill/>
          </a:ln>
          <a:effectLst/>
        </c:spPr>
      </c:pivotFmt>
      <c:pivotFmt>
        <c:idx val="11"/>
        <c:spPr>
          <a:solidFill>
            <a:schemeClr val="accent6">
              <a:lumMod val="40000"/>
              <a:lumOff val="60000"/>
            </a:schemeClr>
          </a:solidFill>
          <a:ln>
            <a:noFill/>
          </a:ln>
          <a:effectLst/>
        </c:spPr>
      </c:pivotFmt>
    </c:pivotFmts>
    <c:plotArea>
      <c:layout/>
      <c:barChart>
        <c:barDir val="col"/>
        <c:grouping val="clustered"/>
        <c:varyColors val="0"/>
        <c:ser>
          <c:idx val="0"/>
          <c:order val="0"/>
          <c:tx>
            <c:v>Total</c:v>
          </c:tx>
          <c:spPr>
            <a:solidFill>
              <a:schemeClr val="accent6">
                <a:lumMod val="60000"/>
                <a:lumOff val="40000"/>
              </a:schemeClr>
            </a:solidFill>
            <a:ln>
              <a:noFill/>
            </a:ln>
            <a:effectLst/>
          </c:spPr>
          <c:invertIfNegative val="0"/>
          <c:dPt>
            <c:idx val="1"/>
            <c:invertIfNegative val="0"/>
            <c:bubble3D val="0"/>
            <c:spPr>
              <a:solidFill>
                <a:srgbClr val="0B2341"/>
              </a:solidFill>
              <a:ln>
                <a:noFill/>
              </a:ln>
              <a:effectLst/>
            </c:spPr>
            <c:extLst>
              <c:ext xmlns:c16="http://schemas.microsoft.com/office/drawing/2014/chart" uri="{C3380CC4-5D6E-409C-BE32-E72D297353CC}">
                <c16:uniqueId val="{00000001-FAF7-4606-B3EB-CC46C2303493}"/>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FAF7-4606-B3EB-CC46C23034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4-FAF7-4606-B3EB-CC46C2303493}"/>
            </c:ext>
          </c:extLst>
        </c:ser>
        <c:dLbls>
          <c:dLblPos val="outEnd"/>
          <c:showLegendKey val="0"/>
          <c:showVal val="1"/>
          <c:showCatName val="0"/>
          <c:showSerName val="0"/>
          <c:showPercent val="0"/>
          <c:showBubbleSize val="0"/>
        </c:dLbls>
        <c:gapWidth val="219"/>
        <c:overlap val="-27"/>
        <c:axId val="655734368"/>
        <c:axId val="664691360"/>
      </c:barChart>
      <c:catAx>
        <c:axId val="65573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91360"/>
        <c:crosses val="autoZero"/>
        <c:auto val="1"/>
        <c:lblAlgn val="ctr"/>
        <c:lblOffset val="100"/>
        <c:noMultiLvlLbl val="0"/>
      </c:catAx>
      <c:valAx>
        <c:axId val="66469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3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Room Type Distribution</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20000"/>
              <a:lumOff val="8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2341"/>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60000"/>
              <a:lumOff val="40000"/>
            </a:schemeClr>
          </a:solidFill>
          <a:ln>
            <a:noFill/>
          </a:ln>
          <a:effectLst/>
        </c:spPr>
      </c:pivotFmt>
      <c:pivotFmt>
        <c:idx val="7"/>
        <c:spPr>
          <a:solidFill>
            <a:srgbClr val="0B2341"/>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2341"/>
          </a:solidFill>
          <a:ln>
            <a:noFill/>
          </a:ln>
          <a:effectLst/>
        </c:spPr>
      </c:pivotFmt>
      <c:pivotFmt>
        <c:idx val="10"/>
        <c:spPr>
          <a:solidFill>
            <a:schemeClr val="accent6">
              <a:lumMod val="20000"/>
              <a:lumOff val="80000"/>
            </a:schemeClr>
          </a:solidFill>
          <a:ln>
            <a:noFill/>
          </a:ln>
          <a:effectLst/>
        </c:spPr>
      </c:pivotFmt>
      <c:pivotFmt>
        <c:idx val="11"/>
        <c:spPr>
          <a:solidFill>
            <a:schemeClr val="accent6">
              <a:lumMod val="60000"/>
              <a:lumOff val="40000"/>
            </a:schemeClr>
          </a:solidFill>
          <a:ln>
            <a:noFill/>
          </a:ln>
          <a:effectLst/>
        </c:spPr>
      </c:pivotFmt>
      <c:pivotFmt>
        <c:idx val="12"/>
        <c:spPr>
          <a:solidFill>
            <a:srgbClr val="0B2341"/>
          </a:solidFill>
          <a:ln>
            <a:noFill/>
          </a:ln>
          <a:effectLst/>
        </c:spPr>
      </c:pivotFmt>
    </c:pivotFmts>
    <c:plotArea>
      <c:layout/>
      <c:pieChart>
        <c:varyColors val="1"/>
        <c:ser>
          <c:idx val="0"/>
          <c:order val="0"/>
          <c:tx>
            <c:v>Total</c:v>
          </c:tx>
          <c:spPr>
            <a:solidFill>
              <a:srgbClr val="0B2341"/>
            </a:solidFill>
          </c:spPr>
          <c:dPt>
            <c:idx val="0"/>
            <c:bubble3D val="0"/>
            <c:spPr>
              <a:solidFill>
                <a:srgbClr val="0B2341"/>
              </a:solidFill>
              <a:ln>
                <a:noFill/>
              </a:ln>
              <a:effectLst/>
            </c:spPr>
            <c:extLst>
              <c:ext xmlns:c16="http://schemas.microsoft.com/office/drawing/2014/chart" uri="{C3380CC4-5D6E-409C-BE32-E72D297353CC}">
                <c16:uniqueId val="{00000001-CC4B-4696-8980-B78B8EB73612}"/>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CC4B-4696-8980-B78B8EB73612}"/>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CC4B-4696-8980-B78B8EB73612}"/>
              </c:ext>
            </c:extLst>
          </c:dPt>
          <c:dPt>
            <c:idx val="3"/>
            <c:bubble3D val="0"/>
            <c:spPr>
              <a:solidFill>
                <a:srgbClr val="0B2341"/>
              </a:solidFill>
              <a:ln>
                <a:noFill/>
              </a:ln>
              <a:effectLst/>
            </c:spPr>
            <c:extLst>
              <c:ext xmlns:c16="http://schemas.microsoft.com/office/drawing/2014/chart" uri="{C3380CC4-5D6E-409C-BE32-E72D297353CC}">
                <c16:uniqueId val="{00000007-CC4B-4696-8980-B78B8EB736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Deluxe</c:v>
              </c:pt>
              <c:pt idx="1">
                <c:v>Family</c:v>
              </c:pt>
              <c:pt idx="2">
                <c:v>Standard</c:v>
              </c:pt>
              <c:pt idx="3">
                <c:v>Suite</c:v>
              </c:pt>
            </c:strLit>
          </c:cat>
          <c:val>
            <c:numLit>
              <c:formatCode>General</c:formatCode>
              <c:ptCount val="4"/>
              <c:pt idx="0">
                <c:v>69</c:v>
              </c:pt>
              <c:pt idx="1">
                <c:v>41</c:v>
              </c:pt>
              <c:pt idx="2">
                <c:v>144</c:v>
              </c:pt>
              <c:pt idx="3">
                <c:v>38</c:v>
              </c:pt>
            </c:numLit>
          </c:val>
          <c:extLst>
            <c:ext xmlns:c16="http://schemas.microsoft.com/office/drawing/2014/chart" uri="{C3380CC4-5D6E-409C-BE32-E72D297353CC}">
              <c16:uniqueId val="{00000008-CC4B-4696-8980-B78B8EB736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Customer Type Distribution</a:t>
            </a:r>
            <a:endParaRPr lang="en-US"/>
          </a:p>
        </c:rich>
      </c:tx>
      <c:layout>
        <c:manualLayout>
          <c:xMode val="edge"/>
          <c:yMode val="edge"/>
          <c:x val="0.20027230412212099"/>
          <c:y val="0.1872070709704333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40000"/>
              <a:lumOff val="60000"/>
            </a:schemeClr>
          </a:solidFill>
          <a:ln>
            <a:noFill/>
          </a:ln>
          <a:effectLst/>
        </c:spPr>
      </c:pivotFmt>
      <c:pivotFmt>
        <c:idx val="5"/>
        <c:spPr>
          <a:solidFill>
            <a:schemeClr val="accent6">
              <a:lumMod val="60000"/>
              <a:lumOff val="40000"/>
            </a:schemeClr>
          </a:solidFill>
          <a:ln>
            <a:noFill/>
          </a:ln>
          <a:effectLst/>
        </c:spPr>
      </c:pivotFmt>
      <c:pivotFmt>
        <c:idx val="6"/>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s>
    <c:plotArea>
      <c:layout/>
      <c:barChart>
        <c:barDir val="bar"/>
        <c:grouping val="stacked"/>
        <c:varyColors val="0"/>
        <c:ser>
          <c:idx val="0"/>
          <c:order val="0"/>
          <c:tx>
            <c:v>Total</c:v>
          </c:tx>
          <c:spPr>
            <a:solidFill>
              <a:srgbClr val="0B234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7A4E-4600-AA87-6476BC5D573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7A4E-4600-AA87-6476BC5D57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Corporate</c:v>
              </c:pt>
              <c:pt idx="1">
                <c:v>New</c:v>
              </c:pt>
              <c:pt idx="2">
                <c:v>Returning</c:v>
              </c:pt>
            </c:strLit>
          </c:cat>
          <c:val>
            <c:numLit>
              <c:formatCode>General</c:formatCode>
              <c:ptCount val="3"/>
              <c:pt idx="0">
                <c:v>57</c:v>
              </c:pt>
              <c:pt idx="1">
                <c:v>135</c:v>
              </c:pt>
              <c:pt idx="2">
                <c:v>100</c:v>
              </c:pt>
            </c:numLit>
          </c:val>
          <c:extLst>
            <c:ext xmlns:c16="http://schemas.microsoft.com/office/drawing/2014/chart" uri="{C3380CC4-5D6E-409C-BE32-E72D297353CC}">
              <c16:uniqueId val="{00000004-7A4E-4600-AA87-6476BC5D5735}"/>
            </c:ext>
          </c:extLst>
        </c:ser>
        <c:dLbls>
          <c:dLblPos val="ctr"/>
          <c:showLegendKey val="0"/>
          <c:showVal val="1"/>
          <c:showCatName val="0"/>
          <c:showSerName val="0"/>
          <c:showPercent val="0"/>
          <c:showBubbleSize val="0"/>
        </c:dLbls>
        <c:gapWidth val="219"/>
        <c:overlap val="100"/>
        <c:axId val="840141360"/>
        <c:axId val="843793904"/>
      </c:barChart>
      <c:catAx>
        <c:axId val="84014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3904"/>
        <c:crosses val="autoZero"/>
        <c:auto val="1"/>
        <c:lblAlgn val="ctr"/>
        <c:lblOffset val="100"/>
        <c:noMultiLvlLbl val="0"/>
      </c:catAx>
      <c:valAx>
        <c:axId val="84379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4136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 Average Room Rate by Room Type</a:t>
            </a:r>
            <a:endParaRPr lang="en-US" sz="1200"/>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chemeClr val="accent6">
              <a:lumMod val="75000"/>
            </a:schemeClr>
          </a:solidFill>
          <a:ln>
            <a:noFill/>
          </a:ln>
          <a:effectLst/>
        </c:spPr>
      </c:pivotFmt>
      <c:pivotFmt>
        <c:idx val="4"/>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75000"/>
            </a:schemeClr>
          </a:solidFill>
          <a:ln>
            <a:noFill/>
          </a:ln>
          <a:effectLst/>
        </c:spPr>
      </c:pivotFmt>
      <c:pivotFmt>
        <c:idx val="8"/>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75000"/>
            </a:schemeClr>
          </a:solidFill>
          <a:ln>
            <a:noFill/>
          </a:ln>
          <a:effectLst/>
        </c:spPr>
      </c:pivotFmt>
    </c:pivotFmts>
    <c:plotArea>
      <c:layout/>
      <c:barChart>
        <c:barDir val="col"/>
        <c:grouping val="clustered"/>
        <c:varyColors val="0"/>
        <c:ser>
          <c:idx val="0"/>
          <c:order val="0"/>
          <c:tx>
            <c:v>Total</c:v>
          </c:tx>
          <c:spPr>
            <a:solidFill>
              <a:srgbClr val="0B234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8B29-4653-B5E1-54EEC62F2D47}"/>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B29-4653-B5E1-54EEC62F2D4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8B29-4653-B5E1-54EEC62F2D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6-8B29-4653-B5E1-54EEC62F2D47}"/>
            </c:ext>
          </c:extLst>
        </c:ser>
        <c:dLbls>
          <c:dLblPos val="outEnd"/>
          <c:showLegendKey val="0"/>
          <c:showVal val="1"/>
          <c:showCatName val="0"/>
          <c:showSerName val="0"/>
          <c:showPercent val="0"/>
          <c:showBubbleSize val="0"/>
        </c:dLbls>
        <c:gapWidth val="219"/>
        <c:axId val="825788256"/>
        <c:axId val="843797648"/>
      </c:barChart>
      <c:catAx>
        <c:axId val="8257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797648"/>
        <c:crosses val="autoZero"/>
        <c:auto val="1"/>
        <c:lblAlgn val="ctr"/>
        <c:lblOffset val="100"/>
        <c:noMultiLvlLbl val="0"/>
      </c:catAx>
      <c:valAx>
        <c:axId val="8437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8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Nights by Customer Type</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40000"/>
              <a:lumOff val="60000"/>
            </a:schemeClr>
          </a:solidFill>
          <a:ln>
            <a:noFill/>
          </a:ln>
          <a:effectLst/>
        </c:spPr>
      </c:pivotFmt>
      <c:pivotFmt>
        <c:idx val="3"/>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rgbClr val="0B2341"/>
          </a:solidFill>
          <a:ln>
            <a:noFill/>
          </a:ln>
          <a:effectLst/>
        </c:spPr>
      </c:pivotFmt>
      <c:pivotFmt>
        <c:idx val="7"/>
        <c:spPr>
          <a:solidFill>
            <a:srgbClr val="0B23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pivotFmt>
      <c:pivotFmt>
        <c:idx val="9"/>
        <c:spPr>
          <a:solidFill>
            <a:schemeClr val="accent6">
              <a:lumMod val="40000"/>
              <a:lumOff val="60000"/>
            </a:schemeClr>
          </a:solidFill>
          <a:ln>
            <a:noFill/>
          </a:ln>
          <a:effectLst/>
        </c:spPr>
      </c:pivotFmt>
      <c:pivotFmt>
        <c:idx val="10"/>
        <c:spPr>
          <a:solidFill>
            <a:srgbClr val="0B2341"/>
          </a:solidFill>
          <a:ln>
            <a:noFill/>
          </a:ln>
          <a:effectLst/>
        </c:spPr>
      </c:pivotFmt>
    </c:pivotFmts>
    <c:plotArea>
      <c:layout/>
      <c:pieChart>
        <c:varyColors val="1"/>
        <c:ser>
          <c:idx val="0"/>
          <c:order val="0"/>
          <c:tx>
            <c:v>Total</c:v>
          </c:tx>
          <c:spPr>
            <a:solidFill>
              <a:srgbClr val="0B2341"/>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97FA-4971-B53F-16304417143B}"/>
              </c:ext>
            </c:extLst>
          </c:dPt>
          <c:dPt>
            <c:idx val="1"/>
            <c:bubble3D val="0"/>
            <c:spPr>
              <a:solidFill>
                <a:schemeClr val="accent6">
                  <a:lumMod val="40000"/>
                  <a:lumOff val="60000"/>
                </a:schemeClr>
              </a:solidFill>
              <a:ln>
                <a:noFill/>
              </a:ln>
              <a:effectLst/>
            </c:spPr>
            <c:extLst>
              <c:ext xmlns:c16="http://schemas.microsoft.com/office/drawing/2014/chart" uri="{C3380CC4-5D6E-409C-BE32-E72D297353CC}">
                <c16:uniqueId val="{00000003-97FA-4971-B53F-16304417143B}"/>
              </c:ext>
            </c:extLst>
          </c:dPt>
          <c:dPt>
            <c:idx val="2"/>
            <c:bubble3D val="0"/>
            <c:spPr>
              <a:solidFill>
                <a:srgbClr val="0B2341"/>
              </a:solidFill>
              <a:ln>
                <a:noFill/>
              </a:ln>
              <a:effectLst/>
            </c:spPr>
            <c:extLst>
              <c:ext xmlns:c16="http://schemas.microsoft.com/office/drawing/2014/chart" uri="{C3380CC4-5D6E-409C-BE32-E72D297353CC}">
                <c16:uniqueId val="{00000005-97FA-4971-B53F-1630441714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6-97FA-4971-B53F-1630441714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Booking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B2341"/>
          </a:solidFill>
          <a:ln>
            <a:noFill/>
          </a:ln>
          <a:effectLst/>
        </c:spPr>
        <c:marker>
          <c:symbol val="none"/>
        </c:marker>
      </c:pivotFmt>
      <c:pivotFmt>
        <c:idx val="3"/>
        <c:spPr>
          <a:solidFill>
            <a:schemeClr val="accent6">
              <a:lumMod val="40000"/>
              <a:lumOff val="6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75000"/>
            </a:schemeClr>
          </a:solidFill>
          <a:ln>
            <a:noFill/>
          </a:ln>
          <a:effectLst/>
        </c:spPr>
      </c:pivotFmt>
    </c:pivotFmts>
    <c:plotArea>
      <c:layout/>
      <c:barChart>
        <c:barDir val="col"/>
        <c:grouping val="clustered"/>
        <c:varyColors val="0"/>
        <c:ser>
          <c:idx val="0"/>
          <c:order val="0"/>
          <c:tx>
            <c:v>Total</c:v>
          </c:tx>
          <c:spPr>
            <a:solidFill>
              <a:srgbClr val="0B234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37EF-4A6B-9582-B974B11BE3AE}"/>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37EF-4A6B-9582-B974B11BE3AE}"/>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37EF-4A6B-9582-B974B11BE3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0-37EF-4A6B-9582-B974B11BE3AE}"/>
            </c:ext>
          </c:extLst>
        </c:ser>
        <c:dLbls>
          <c:dLblPos val="outEnd"/>
          <c:showLegendKey val="0"/>
          <c:showVal val="1"/>
          <c:showCatName val="0"/>
          <c:showSerName val="0"/>
          <c:showPercent val="0"/>
          <c:showBubbleSize val="0"/>
        </c:dLbls>
        <c:gapWidth val="219"/>
        <c:overlap val="-27"/>
        <c:axId val="1094316208"/>
        <c:axId val="1019787408"/>
      </c:barChart>
      <c:catAx>
        <c:axId val="10943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787408"/>
        <c:crosses val="autoZero"/>
        <c:auto val="1"/>
        <c:lblAlgn val="ctr"/>
        <c:lblOffset val="100"/>
        <c:noMultiLvlLbl val="0"/>
      </c:catAx>
      <c:valAx>
        <c:axId val="101978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Booking Status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rgbClr val="0B2341"/>
          </a:solidFill>
          <a:ln>
            <a:noFill/>
          </a:ln>
          <a:effectLst/>
        </c:spPr>
        <c:marker>
          <c:symbol val="none"/>
        </c:marker>
      </c:pivotFmt>
      <c:pivotFmt>
        <c:idx val="7"/>
        <c:spPr>
          <a:solidFill>
            <a:schemeClr val="accent6">
              <a:lumMod val="40000"/>
              <a:lumOff val="60000"/>
            </a:schemeClr>
          </a:solidFill>
          <a:ln>
            <a:noFill/>
          </a:ln>
          <a:effectLst/>
        </c:spPr>
      </c:pivotFmt>
      <c:pivotFmt>
        <c:idx val="8"/>
        <c:spPr>
          <a:solidFill>
            <a:srgbClr val="0B2341"/>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20000"/>
              <a:lumOff val="80000"/>
            </a:schemeClr>
          </a:solidFill>
          <a:ln>
            <a:noFill/>
          </a:ln>
          <a:effectLst/>
        </c:spPr>
      </c:pivotFmt>
    </c:pivotFmts>
    <c:plotArea>
      <c:layout/>
      <c:pieChart>
        <c:varyColors val="1"/>
        <c:ser>
          <c:idx val="0"/>
          <c:order val="0"/>
          <c:tx>
            <c:v>Series1</c:v>
          </c:tx>
          <c:spPr>
            <a:solidFill>
              <a:srgbClr val="0B2341"/>
            </a:solidFill>
          </c:spPr>
          <c:dPt>
            <c:idx val="0"/>
            <c:bubble3D val="0"/>
            <c:spPr>
              <a:solidFill>
                <a:schemeClr val="accent6">
                  <a:lumMod val="40000"/>
                  <a:lumOff val="60000"/>
                </a:schemeClr>
              </a:solidFill>
              <a:ln>
                <a:noFill/>
              </a:ln>
              <a:effectLst/>
            </c:spPr>
            <c:extLst>
              <c:ext xmlns:c16="http://schemas.microsoft.com/office/drawing/2014/chart" uri="{C3380CC4-5D6E-409C-BE32-E72D297353CC}">
                <c16:uniqueId val="{00000001-E9B1-46A2-B61A-C1F36C5B7D24}"/>
              </c:ext>
            </c:extLst>
          </c:dPt>
          <c:dPt>
            <c:idx val="1"/>
            <c:bubble3D val="0"/>
            <c:spPr>
              <a:solidFill>
                <a:srgbClr val="0B2341"/>
              </a:solidFill>
              <a:ln>
                <a:noFill/>
              </a:ln>
              <a:effectLst/>
            </c:spPr>
            <c:extLst>
              <c:ext xmlns:c16="http://schemas.microsoft.com/office/drawing/2014/chart" uri="{C3380CC4-5D6E-409C-BE32-E72D297353CC}">
                <c16:uniqueId val="{00000003-E9B1-46A2-B61A-C1F36C5B7D24}"/>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E9B1-46A2-B61A-C1F36C5B7D24}"/>
              </c:ext>
            </c:extLst>
          </c:dPt>
          <c:dPt>
            <c:idx val="3"/>
            <c:bubble3D val="0"/>
            <c:spPr>
              <a:solidFill>
                <a:schemeClr val="accent6">
                  <a:lumMod val="20000"/>
                  <a:lumOff val="80000"/>
                </a:schemeClr>
              </a:solidFill>
              <a:ln>
                <a:noFill/>
              </a:ln>
              <a:effectLst/>
            </c:spPr>
            <c:extLst>
              <c:ext xmlns:c16="http://schemas.microsoft.com/office/drawing/2014/chart" uri="{C3380CC4-5D6E-409C-BE32-E72D297353CC}">
                <c16:uniqueId val="{00000007-E9B1-46A2-B61A-C1F36C5B7D24}"/>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E9B1-46A2-B61A-C1F36C5B7D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Cancelled</c:v>
              </c:pt>
              <c:pt idx="1">
                <c:v>Completed</c:v>
              </c:pt>
              <c:pt idx="2">
                <c:v>Confirmed</c:v>
              </c:pt>
              <c:pt idx="3">
                <c:v>No-Show</c:v>
              </c:pt>
            </c:strLit>
          </c:cat>
          <c:val>
            <c:numLit>
              <c:formatCode>General</c:formatCode>
              <c:ptCount val="4"/>
              <c:pt idx="0">
                <c:v>55</c:v>
              </c:pt>
              <c:pt idx="1">
                <c:v>158</c:v>
              </c:pt>
              <c:pt idx="2">
                <c:v>58</c:v>
              </c:pt>
              <c:pt idx="3">
                <c:v>21</c:v>
              </c:pt>
            </c:numLit>
          </c:val>
          <c:extLst>
            <c:ext xmlns:c16="http://schemas.microsoft.com/office/drawing/2014/chart" uri="{C3380CC4-5D6E-409C-BE32-E72D297353CC}">
              <c16:uniqueId val="{00000008-E9B1-46A2-B61A-C1F36C5B7D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Room Rate by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60000"/>
              <a:lumOff val="40000"/>
            </a:schemeClr>
          </a:solidFill>
          <a:ln>
            <a:noFill/>
          </a:ln>
          <a:effectLst/>
        </c:spPr>
      </c:pivotFmt>
      <c:pivotFmt>
        <c:idx val="7"/>
        <c:spPr>
          <a:solidFill>
            <a:srgbClr val="0B234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0DF7-4588-9568-2DF3CD40866E}"/>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0DF7-4588-9568-2DF3CD40866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0DF7-4588-9568-2DF3CD40866E}"/>
              </c:ext>
            </c:extLst>
          </c:dPt>
          <c:dPt>
            <c:idx val="3"/>
            <c:invertIfNegative val="0"/>
            <c:bubble3D val="0"/>
            <c:spPr>
              <a:solidFill>
                <a:srgbClr val="0B2341"/>
              </a:solidFill>
              <a:ln>
                <a:noFill/>
              </a:ln>
              <a:effectLst/>
            </c:spPr>
            <c:extLst>
              <c:ext xmlns:c16="http://schemas.microsoft.com/office/drawing/2014/chart" uri="{C3380CC4-5D6E-409C-BE32-E72D297353CC}">
                <c16:uniqueId val="{00000004-0DF7-4588-9568-2DF3CD40866E}"/>
              </c:ext>
            </c:extLst>
          </c:dPt>
          <c:cat>
            <c:strLit>
              <c:ptCount val="4"/>
              <c:pt idx="0">
                <c:v>Deluxe</c:v>
              </c:pt>
              <c:pt idx="1">
                <c:v>Family</c:v>
              </c:pt>
              <c:pt idx="2">
                <c:v>Standard</c:v>
              </c:pt>
              <c:pt idx="3">
                <c:v>Suite</c:v>
              </c:pt>
            </c:strLit>
          </c:cat>
          <c:val>
            <c:numLit>
              <c:formatCode>General</c:formatCode>
              <c:ptCount val="4"/>
              <c:pt idx="0">
                <c:v>74.217826086956549</c:v>
              </c:pt>
              <c:pt idx="1">
                <c:v>114.24512195121949</c:v>
              </c:pt>
              <c:pt idx="2">
                <c:v>51.522222222222211</c:v>
              </c:pt>
              <c:pt idx="3">
                <c:v>135.39184210526318</c:v>
              </c:pt>
            </c:numLit>
          </c:val>
          <c:extLst>
            <c:ext xmlns:c16="http://schemas.microsoft.com/office/drawing/2014/chart" uri="{C3380CC4-5D6E-409C-BE32-E72D297353CC}">
              <c16:uniqueId val="{00000000-0DF7-4588-9568-2DF3CD40866E}"/>
            </c:ext>
          </c:extLst>
        </c:ser>
        <c:dLbls>
          <c:showLegendKey val="0"/>
          <c:showVal val="0"/>
          <c:showCatName val="0"/>
          <c:showSerName val="0"/>
          <c:showPercent val="0"/>
          <c:showBubbleSize val="0"/>
        </c:dLbls>
        <c:gapWidth val="219"/>
        <c:axId val="1144928384"/>
        <c:axId val="821312864"/>
      </c:barChart>
      <c:catAx>
        <c:axId val="114492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12864"/>
        <c:crosses val="autoZero"/>
        <c:auto val="1"/>
        <c:lblAlgn val="ctr"/>
        <c:lblOffset val="100"/>
        <c:noMultiLvlLbl val="0"/>
      </c:catAx>
      <c:valAx>
        <c:axId val="8213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Nights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60000"/>
              <a:lumOff val="40000"/>
            </a:schemeClr>
          </a:solidFill>
          <a:ln>
            <a:noFill/>
          </a:ln>
          <a:effectLst/>
        </c:spPr>
        <c:marker>
          <c:symbol val="none"/>
        </c:marker>
      </c:pivotFmt>
      <c:pivotFmt>
        <c:idx val="3"/>
        <c:spPr>
          <a:solidFill>
            <a:srgbClr val="0B2341"/>
          </a:solidFill>
          <a:ln>
            <a:noFill/>
          </a:ln>
          <a:effectLst/>
        </c:spPr>
      </c:pivotFmt>
      <c:pivotFmt>
        <c:idx val="4"/>
        <c:spPr>
          <a:solidFill>
            <a:schemeClr val="accent6">
              <a:lumMod val="75000"/>
            </a:schemeClr>
          </a:solidFill>
          <a:ln>
            <a:noFill/>
          </a:ln>
          <a:effectLst/>
        </c:spPr>
      </c:pivotFmt>
    </c:pivotFmts>
    <c:plotArea>
      <c:layout/>
      <c:barChart>
        <c:barDir val="bar"/>
        <c:grouping val="clustered"/>
        <c:varyColors val="0"/>
        <c:ser>
          <c:idx val="0"/>
          <c:order val="0"/>
          <c:tx>
            <c:v>Total</c:v>
          </c:tx>
          <c:spPr>
            <a:solidFill>
              <a:schemeClr val="accent6">
                <a:lumMod val="60000"/>
                <a:lumOff val="4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2-332A-4F0C-83D3-283301C0F5E3}"/>
              </c:ext>
            </c:extLst>
          </c:dPt>
          <c:dPt>
            <c:idx val="1"/>
            <c:invertIfNegative val="0"/>
            <c:bubble3D val="0"/>
            <c:spPr>
              <a:solidFill>
                <a:srgbClr val="0B2341"/>
              </a:solidFill>
              <a:ln>
                <a:noFill/>
              </a:ln>
              <a:effectLst/>
            </c:spPr>
            <c:extLst>
              <c:ext xmlns:c16="http://schemas.microsoft.com/office/drawing/2014/chart" uri="{C3380CC4-5D6E-409C-BE32-E72D297353CC}">
                <c16:uniqueId val="{00000001-332A-4F0C-83D3-283301C0F5E3}"/>
              </c:ext>
            </c:extLst>
          </c:dPt>
          <c:cat>
            <c:strLit>
              <c:ptCount val="3"/>
              <c:pt idx="0">
                <c:v>Corporate</c:v>
              </c:pt>
              <c:pt idx="1">
                <c:v>New</c:v>
              </c:pt>
              <c:pt idx="2">
                <c:v>Returning</c:v>
              </c:pt>
            </c:strLit>
          </c:cat>
          <c:val>
            <c:numLit>
              <c:formatCode>General</c:formatCode>
              <c:ptCount val="3"/>
              <c:pt idx="0">
                <c:v>4.8484210526315792</c:v>
              </c:pt>
              <c:pt idx="1">
                <c:v>5.3887407407407393</c:v>
              </c:pt>
              <c:pt idx="2">
                <c:v>6.1968000000000005</c:v>
              </c:pt>
            </c:numLit>
          </c:val>
          <c:extLst>
            <c:ext xmlns:c16="http://schemas.microsoft.com/office/drawing/2014/chart" uri="{C3380CC4-5D6E-409C-BE32-E72D297353CC}">
              <c16:uniqueId val="{00000000-332A-4F0C-83D3-283301C0F5E3}"/>
            </c:ext>
          </c:extLst>
        </c:ser>
        <c:dLbls>
          <c:showLegendKey val="0"/>
          <c:showVal val="0"/>
          <c:showCatName val="0"/>
          <c:showSerName val="0"/>
          <c:showPercent val="0"/>
          <c:showBubbleSize val="0"/>
        </c:dLbls>
        <c:gapWidth val="219"/>
        <c:axId val="1155233456"/>
        <c:axId val="664938080"/>
      </c:barChart>
      <c:catAx>
        <c:axId val="115523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38080"/>
        <c:crosses val="autoZero"/>
        <c:auto val="1"/>
        <c:lblAlgn val="ctr"/>
        <c:lblOffset val="100"/>
        <c:noMultiLvlLbl val="0"/>
      </c:catAx>
      <c:valAx>
        <c:axId val="664938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6">
              <a:lumMod val="40000"/>
              <a:lumOff val="60000"/>
            </a:schemeClr>
          </a:solidFill>
          <a:ln>
            <a:noFill/>
          </a:ln>
          <a:effectLst/>
        </c:spPr>
        <c:marker>
          <c:symbol val="none"/>
        </c:marker>
      </c:pivotFmt>
      <c:pivotFmt>
        <c:idx val="7"/>
        <c:spPr>
          <a:solidFill>
            <a:schemeClr val="accent6">
              <a:lumMod val="60000"/>
              <a:lumOff val="40000"/>
            </a:schemeClr>
          </a:solidFill>
          <a:ln>
            <a:noFill/>
          </a:ln>
          <a:effectLst/>
        </c:spPr>
      </c:pivotFmt>
      <c:pivotFmt>
        <c:idx val="8"/>
        <c:spPr>
          <a:solidFill>
            <a:srgbClr val="0B2341"/>
          </a:solidFill>
          <a:ln>
            <a:noFill/>
          </a:ln>
          <a:effectLst/>
        </c:spPr>
      </c:pivotFmt>
      <c:pivotFmt>
        <c:idx val="9"/>
        <c:spPr>
          <a:solidFill>
            <a:schemeClr val="accent6">
              <a:lumMod val="40000"/>
              <a:lumOff val="60000"/>
            </a:schemeClr>
          </a:solidFill>
          <a:ln>
            <a:noFill/>
          </a:ln>
          <a:effectLst/>
        </c:spPr>
      </c:pivotFmt>
      <c:pivotFmt>
        <c:idx val="10"/>
        <c:spPr>
          <a:solidFill>
            <a:schemeClr val="accent6">
              <a:lumMod val="20000"/>
              <a:lumOff val="80000"/>
            </a:schemeClr>
          </a:solidFill>
          <a:ln>
            <a:noFill/>
          </a:ln>
          <a:effectLst/>
        </c:spPr>
      </c:pivotFmt>
    </c:pivotFmts>
    <c:plotArea>
      <c:layout/>
      <c:pieChart>
        <c:varyColors val="1"/>
        <c:ser>
          <c:idx val="0"/>
          <c:order val="0"/>
          <c:tx>
            <c:v>Total</c:v>
          </c:tx>
          <c:spPr>
            <a:solidFill>
              <a:schemeClr val="accent6">
                <a:lumMod val="40000"/>
                <a:lumOff val="60000"/>
              </a:schemeClr>
            </a:solidFill>
          </c:spPr>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B863-43CD-8EEE-9D24EA23AF32}"/>
              </c:ext>
            </c:extLst>
          </c:dPt>
          <c:dPt>
            <c:idx val="1"/>
            <c:bubble3D val="0"/>
            <c:spPr>
              <a:solidFill>
                <a:srgbClr val="0B2341"/>
              </a:solidFill>
              <a:ln>
                <a:noFill/>
              </a:ln>
              <a:effectLst/>
            </c:spPr>
            <c:extLst>
              <c:ext xmlns:c16="http://schemas.microsoft.com/office/drawing/2014/chart" uri="{C3380CC4-5D6E-409C-BE32-E72D297353CC}">
                <c16:uniqueId val="{00000003-B863-43CD-8EEE-9D24EA23AF32}"/>
              </c:ext>
            </c:extLst>
          </c:dPt>
          <c:dPt>
            <c:idx val="2"/>
            <c:bubble3D val="0"/>
            <c:spPr>
              <a:solidFill>
                <a:schemeClr val="accent6">
                  <a:lumMod val="40000"/>
                  <a:lumOff val="60000"/>
                </a:schemeClr>
              </a:solidFill>
              <a:ln>
                <a:noFill/>
              </a:ln>
              <a:effectLst/>
            </c:spPr>
            <c:extLst>
              <c:ext xmlns:c16="http://schemas.microsoft.com/office/drawing/2014/chart" uri="{C3380CC4-5D6E-409C-BE32-E72D297353CC}">
                <c16:uniqueId val="{00000005-B863-43CD-8EEE-9D24EA23AF32}"/>
              </c:ext>
            </c:extLst>
          </c:dPt>
          <c:dPt>
            <c:idx val="3"/>
            <c:bubble3D val="0"/>
            <c:spPr>
              <a:solidFill>
                <a:schemeClr val="accent6">
                  <a:lumMod val="20000"/>
                  <a:lumOff val="80000"/>
                </a:schemeClr>
              </a:solidFill>
              <a:ln>
                <a:noFill/>
              </a:ln>
              <a:effectLst/>
            </c:spPr>
            <c:extLst>
              <c:ext xmlns:c16="http://schemas.microsoft.com/office/drawing/2014/chart" uri="{C3380CC4-5D6E-409C-BE32-E72D297353CC}">
                <c16:uniqueId val="{00000007-B863-43CD-8EEE-9D24EA23AF32}"/>
              </c:ext>
            </c:extLst>
          </c:dPt>
          <c:cat>
            <c:strLit>
              <c:ptCount val="4"/>
              <c:pt idx="0">
                <c:v>Cancelled</c:v>
              </c:pt>
              <c:pt idx="1">
                <c:v>Completed</c:v>
              </c:pt>
              <c:pt idx="2">
                <c:v>Confirmed</c:v>
              </c:pt>
              <c:pt idx="3">
                <c:v>No-Show</c:v>
              </c:pt>
            </c:strLit>
          </c:cat>
          <c:val>
            <c:numLit>
              <c:formatCode>General</c:formatCode>
              <c:ptCount val="4"/>
              <c:pt idx="0">
                <c:v>4269.3999999999996</c:v>
              </c:pt>
              <c:pt idx="1">
                <c:v>11872.070000000002</c:v>
              </c:pt>
              <c:pt idx="2">
                <c:v>4657.2300000000005</c:v>
              </c:pt>
              <c:pt idx="3">
                <c:v>1570.4699999999998</c:v>
              </c:pt>
            </c:numLit>
          </c:val>
          <c:extLst>
            <c:ext xmlns:c16="http://schemas.microsoft.com/office/drawing/2014/chart" uri="{C3380CC4-5D6E-409C-BE32-E72D297353CC}">
              <c16:uniqueId val="{00000008-B863-43CD-8EEE-9D24EA23AF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9.png"/><Relationship Id="rId7" Type="http://schemas.openxmlformats.org/officeDocument/2006/relationships/chart" Target="../charts/chart13.xml"/><Relationship Id="rId2" Type="http://schemas.openxmlformats.org/officeDocument/2006/relationships/image" Target="../media/image8.svg"/><Relationship Id="rId1" Type="http://schemas.openxmlformats.org/officeDocument/2006/relationships/image" Target="../media/image7.png"/><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hyperlink" Target="#PivotTables!A1"/><Relationship Id="rId4" Type="http://schemas.openxmlformats.org/officeDocument/2006/relationships/image" Target="../media/image10.svg"/><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image" Target="../media/image13.png"/><Relationship Id="rId7" Type="http://schemas.openxmlformats.org/officeDocument/2006/relationships/chart" Target="../charts/chart18.xm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image" Target="../media/image14.svg"/><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twoCellAnchor>
    <xdr:from>
      <xdr:col>0</xdr:col>
      <xdr:colOff>138061</xdr:colOff>
      <xdr:row>3</xdr:row>
      <xdr:rowOff>58188</xdr:rowOff>
    </xdr:from>
    <xdr:to>
      <xdr:col>0</xdr:col>
      <xdr:colOff>1624706</xdr:colOff>
      <xdr:row>7</xdr:row>
      <xdr:rowOff>107032</xdr:rowOff>
    </xdr:to>
    <xdr:sp macro="" textlink="">
      <xdr:nvSpPr>
        <xdr:cNvPr id="2" name="Rectangle: Rounded Corners 1">
          <a:extLst>
            <a:ext uri="{FF2B5EF4-FFF2-40B4-BE49-F238E27FC236}">
              <a16:creationId xmlns:a16="http://schemas.microsoft.com/office/drawing/2014/main" id="{46935D19-9B84-4D2F-8DA8-F13F287F8275}"/>
            </a:ext>
          </a:extLst>
        </xdr:cNvPr>
        <xdr:cNvSpPr/>
      </xdr:nvSpPr>
      <xdr:spPr>
        <a:xfrm>
          <a:off x="138061" y="785365"/>
          <a:ext cx="1486645" cy="786264"/>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TOTAL</a:t>
          </a:r>
        </a:p>
        <a:p>
          <a:pPr rtl="0"/>
          <a:r>
            <a:rPr lang="en-US" sz="1100" b="0" i="0" baseline="0">
              <a:solidFill>
                <a:schemeClr val="bg1"/>
              </a:solidFill>
              <a:effectLst/>
              <a:latin typeface="+mn-lt"/>
              <a:ea typeface="+mn-ea"/>
              <a:cs typeface="+mn-cs"/>
            </a:rPr>
            <a:t>             RECORDS  </a:t>
          </a:r>
        </a:p>
        <a:p>
          <a:pPr rtl="0"/>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xdr:from>
      <xdr:col>0</xdr:col>
      <xdr:colOff>2045569</xdr:colOff>
      <xdr:row>3</xdr:row>
      <xdr:rowOff>91731</xdr:rowOff>
    </xdr:from>
    <xdr:to>
      <xdr:col>2</xdr:col>
      <xdr:colOff>361998</xdr:colOff>
      <xdr:row>7</xdr:row>
      <xdr:rowOff>126620</xdr:rowOff>
    </xdr:to>
    <xdr:sp macro="" textlink="">
      <xdr:nvSpPr>
        <xdr:cNvPr id="3" name="Rectangle: Rounded Corners 2">
          <a:extLst>
            <a:ext uri="{FF2B5EF4-FFF2-40B4-BE49-F238E27FC236}">
              <a16:creationId xmlns:a16="http://schemas.microsoft.com/office/drawing/2014/main" id="{8DE465B1-3A56-4EDD-9AD3-12AC033ED258}"/>
            </a:ext>
          </a:extLst>
        </xdr:cNvPr>
        <xdr:cNvSpPr/>
      </xdr:nvSpPr>
      <xdr:spPr>
        <a:xfrm>
          <a:off x="2045569" y="818908"/>
          <a:ext cx="1470945" cy="77230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TOTAL REVENUE</a:t>
          </a:r>
          <a:endParaRPr lang="en-US">
            <a:solidFill>
              <a:schemeClr val="bg1"/>
            </a:solidFill>
            <a:effectLst/>
          </a:endParaRPr>
        </a:p>
        <a:p>
          <a:pPr rtl="0"/>
          <a:r>
            <a:rPr lang="en-US" sz="1100" b="0" i="0" baseline="0">
              <a:solidFill>
                <a:schemeClr val="bg1"/>
              </a:solidFill>
              <a:effectLst/>
              <a:latin typeface="+mn-lt"/>
              <a:ea typeface="+mn-ea"/>
              <a:cs typeface="+mn-cs"/>
            </a:rPr>
            <a:t>      </a:t>
          </a:r>
          <a:r>
            <a:rPr lang="en-US">
              <a:solidFill>
                <a:schemeClr val="accent4">
                  <a:lumMod val="75000"/>
                </a:schemeClr>
              </a:solidFill>
            </a:rPr>
            <a:t>💰</a:t>
          </a:r>
          <a:endParaRPr lang="en-US">
            <a:solidFill>
              <a:schemeClr val="accent4">
                <a:lumMod val="75000"/>
              </a:schemeClr>
            </a:solidFill>
            <a:effectLst/>
          </a:endParaRPr>
        </a:p>
        <a:p>
          <a:pPr rtl="0"/>
          <a:r>
            <a:rPr lang="en-US" sz="1100" b="0" i="0">
              <a:solidFill>
                <a:schemeClr val="bg1"/>
              </a:solidFill>
              <a:effectLst/>
              <a:latin typeface="+mn-lt"/>
              <a:ea typeface="+mn-ea"/>
              <a:cs typeface="+mn-cs"/>
            </a:rPr>
            <a:t>  22,369.17</a:t>
          </a:r>
          <a:endParaRPr lang="en-US">
            <a:solidFill>
              <a:schemeClr val="bg1"/>
            </a:solidFill>
            <a:effectLst/>
          </a:endParaRPr>
        </a:p>
        <a:p>
          <a:pPr algn="l"/>
          <a:endParaRPr lang="en-US" sz="1100">
            <a:solidFill>
              <a:schemeClr val="bg1"/>
            </a:solidFill>
          </a:endParaRPr>
        </a:p>
      </xdr:txBody>
    </xdr:sp>
    <xdr:clientData/>
  </xdr:twoCellAnchor>
  <xdr:twoCellAnchor editAs="oneCell">
    <xdr:from>
      <xdr:col>0</xdr:col>
      <xdr:colOff>744701</xdr:colOff>
      <xdr:row>5</xdr:row>
      <xdr:rowOff>86096</xdr:rowOff>
    </xdr:from>
    <xdr:to>
      <xdr:col>0</xdr:col>
      <xdr:colOff>995908</xdr:colOff>
      <xdr:row>6</xdr:row>
      <xdr:rowOff>155874</xdr:rowOff>
    </xdr:to>
    <xdr:pic>
      <xdr:nvPicPr>
        <xdr:cNvPr id="11" name="Graphic 10" descr="Database">
          <a:extLst>
            <a:ext uri="{FF2B5EF4-FFF2-40B4-BE49-F238E27FC236}">
              <a16:creationId xmlns:a16="http://schemas.microsoft.com/office/drawing/2014/main" id="{84DB45D9-F818-4EC5-939B-55227C4D85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44701" y="1197346"/>
          <a:ext cx="251207" cy="256543"/>
        </a:xfrm>
        <a:prstGeom prst="rect">
          <a:avLst/>
        </a:prstGeom>
      </xdr:spPr>
    </xdr:pic>
    <xdr:clientData/>
  </xdr:twoCellAnchor>
  <xdr:oneCellAnchor>
    <xdr:from>
      <xdr:col>0</xdr:col>
      <xdr:colOff>670301</xdr:colOff>
      <xdr:row>6</xdr:row>
      <xdr:rowOff>79119</xdr:rowOff>
    </xdr:from>
    <xdr:ext cx="453571" cy="264560"/>
    <xdr:sp macro="" textlink="">
      <xdr:nvSpPr>
        <xdr:cNvPr id="12" name="TextBox 11">
          <a:extLst>
            <a:ext uri="{FF2B5EF4-FFF2-40B4-BE49-F238E27FC236}">
              <a16:creationId xmlns:a16="http://schemas.microsoft.com/office/drawing/2014/main" id="{D3F9B1B2-E451-4A73-9DFA-03DBD51875CD}"/>
            </a:ext>
          </a:extLst>
        </xdr:cNvPr>
        <xdr:cNvSpPr txBox="1"/>
      </xdr:nvSpPr>
      <xdr:spPr>
        <a:xfrm>
          <a:off x="670301" y="1377134"/>
          <a:ext cx="45357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292</a:t>
          </a:r>
        </a:p>
      </xdr:txBody>
    </xdr:sp>
    <xdr:clientData/>
  </xdr:oneCellAnchor>
  <xdr:twoCellAnchor>
    <xdr:from>
      <xdr:col>3</xdr:col>
      <xdr:colOff>142531</xdr:colOff>
      <xdr:row>3</xdr:row>
      <xdr:rowOff>60312</xdr:rowOff>
    </xdr:from>
    <xdr:to>
      <xdr:col>4</xdr:col>
      <xdr:colOff>1023438</xdr:colOff>
      <xdr:row>7</xdr:row>
      <xdr:rowOff>109156</xdr:rowOff>
    </xdr:to>
    <xdr:sp macro="" textlink="">
      <xdr:nvSpPr>
        <xdr:cNvPr id="18" name="Rectangle: Rounded Corners 17">
          <a:extLst>
            <a:ext uri="{FF2B5EF4-FFF2-40B4-BE49-F238E27FC236}">
              <a16:creationId xmlns:a16="http://schemas.microsoft.com/office/drawing/2014/main" id="{11EB73E7-8DF6-48A6-A636-17C7AB2244DC}"/>
            </a:ext>
          </a:extLst>
        </xdr:cNvPr>
        <xdr:cNvSpPr/>
      </xdr:nvSpPr>
      <xdr:spPr>
        <a:xfrm>
          <a:off x="3905840" y="798033"/>
          <a:ext cx="1487892" cy="795902"/>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accent1"/>
              </a:solidFill>
              <a:effectLst/>
              <a:latin typeface="+mn-lt"/>
              <a:ea typeface="+mn-ea"/>
              <a:cs typeface="+mn-cs"/>
            </a:rPr>
            <a:t>                      </a:t>
          </a:r>
          <a:endParaRPr lang="en-US" sz="1100">
            <a:solidFill>
              <a:schemeClr val="accent1"/>
            </a:solidFill>
          </a:endParaRPr>
        </a:p>
      </xdr:txBody>
    </xdr:sp>
    <xdr:clientData/>
  </xdr:twoCellAnchor>
  <xdr:oneCellAnchor>
    <xdr:from>
      <xdr:col>3</xdr:col>
      <xdr:colOff>174113</xdr:colOff>
      <xdr:row>3</xdr:row>
      <xdr:rowOff>122906</xdr:rowOff>
    </xdr:from>
    <xdr:ext cx="1433871" cy="583789"/>
    <xdr:sp macro="" textlink="">
      <xdr:nvSpPr>
        <xdr:cNvPr id="13" name="TextBox 12">
          <a:extLst>
            <a:ext uri="{FF2B5EF4-FFF2-40B4-BE49-F238E27FC236}">
              <a16:creationId xmlns:a16="http://schemas.microsoft.com/office/drawing/2014/main" id="{39C6DD39-3D2D-4BDA-A11B-6152DB6D60CE}"/>
            </a:ext>
          </a:extLst>
        </xdr:cNvPr>
        <xdr:cNvSpPr txBox="1"/>
      </xdr:nvSpPr>
      <xdr:spPr>
        <a:xfrm>
          <a:off x="3943145" y="850083"/>
          <a:ext cx="1433871" cy="583789"/>
        </a:xfrm>
        <a:prstGeom prst="rect">
          <a:avLst/>
        </a:prstGeom>
        <a:solidFill>
          <a:srgbClr val="0B234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0" i="0" u="none" strike="noStrike">
              <a:solidFill>
                <a:schemeClr val="bg1"/>
              </a:solidFill>
              <a:effectLst/>
              <a:latin typeface="+mn-lt"/>
              <a:ea typeface="+mn-ea"/>
              <a:cs typeface="+mn-cs"/>
            </a:rPr>
            <a:t>    Average Room  Rate</a:t>
          </a:r>
        </a:p>
        <a:p>
          <a:r>
            <a:rPr lang="en-US" sz="1400">
              <a:solidFill>
                <a:srgbClr val="92D050"/>
              </a:solidFill>
            </a:rPr>
            <a:t>          📊</a:t>
          </a:r>
        </a:p>
      </xdr:txBody>
    </xdr:sp>
    <xdr:clientData/>
  </xdr:oneCellAnchor>
  <xdr:oneCellAnchor>
    <xdr:from>
      <xdr:col>3</xdr:col>
      <xdr:colOff>573348</xdr:colOff>
      <xdr:row>6</xdr:row>
      <xdr:rowOff>22518</xdr:rowOff>
    </xdr:from>
    <xdr:ext cx="537307" cy="264560"/>
    <xdr:sp macro="" textlink="">
      <xdr:nvSpPr>
        <xdr:cNvPr id="16" name="TextBox 15">
          <a:extLst>
            <a:ext uri="{FF2B5EF4-FFF2-40B4-BE49-F238E27FC236}">
              <a16:creationId xmlns:a16="http://schemas.microsoft.com/office/drawing/2014/main" id="{374654F8-1BF2-4369-BFCC-49409AE9EA98}"/>
            </a:ext>
          </a:extLst>
        </xdr:cNvPr>
        <xdr:cNvSpPr txBox="1"/>
      </xdr:nvSpPr>
      <xdr:spPr>
        <a:xfrm>
          <a:off x="4336657" y="1320533"/>
          <a:ext cx="5373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bg1"/>
              </a:solidFill>
              <a:effectLst/>
              <a:latin typeface="+mn-lt"/>
              <a:ea typeface="+mn-ea"/>
              <a:cs typeface="+mn-cs"/>
            </a:rPr>
            <a:t>76.61</a:t>
          </a:r>
          <a:r>
            <a:rPr lang="en-US">
              <a:solidFill>
                <a:schemeClr val="accent1"/>
              </a:solidFill>
            </a:rPr>
            <a:t> </a:t>
          </a:r>
          <a:endParaRPr lang="en-US" sz="1100">
            <a:solidFill>
              <a:schemeClr val="accent1"/>
            </a:solidFill>
          </a:endParaRPr>
        </a:p>
      </xdr:txBody>
    </xdr:sp>
    <xdr:clientData/>
  </xdr:oneCellAnchor>
  <xdr:twoCellAnchor>
    <xdr:from>
      <xdr:col>5</xdr:col>
      <xdr:colOff>46689</xdr:colOff>
      <xdr:row>3</xdr:row>
      <xdr:rowOff>65368</xdr:rowOff>
    </xdr:from>
    <xdr:to>
      <xdr:col>6</xdr:col>
      <xdr:colOff>438895</xdr:colOff>
      <xdr:row>7</xdr:row>
      <xdr:rowOff>130736</xdr:rowOff>
    </xdr:to>
    <xdr:sp macro="" textlink="">
      <xdr:nvSpPr>
        <xdr:cNvPr id="23" name="Rectangle: Rounded Corners 22">
          <a:extLst>
            <a:ext uri="{FF2B5EF4-FFF2-40B4-BE49-F238E27FC236}">
              <a16:creationId xmlns:a16="http://schemas.microsoft.com/office/drawing/2014/main" id="{1AF715FB-1AF3-4BC1-AD57-F647F23E6B9C}"/>
            </a:ext>
          </a:extLst>
        </xdr:cNvPr>
        <xdr:cNvSpPr/>
      </xdr:nvSpPr>
      <xdr:spPr>
        <a:xfrm>
          <a:off x="5677645" y="803089"/>
          <a:ext cx="1615515" cy="812426"/>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a:solidFill>
                <a:schemeClr val="bg1"/>
              </a:solidFill>
            </a:rPr>
            <a:t>Average Nights</a:t>
          </a:r>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xdr:from>
      <xdr:col>8</xdr:col>
      <xdr:colOff>1196908</xdr:colOff>
      <xdr:row>3</xdr:row>
      <xdr:rowOff>69281</xdr:rowOff>
    </xdr:from>
    <xdr:to>
      <xdr:col>9</xdr:col>
      <xdr:colOff>839839</xdr:colOff>
      <xdr:row>7</xdr:row>
      <xdr:rowOff>112660</xdr:rowOff>
    </xdr:to>
    <xdr:sp macro="" textlink="">
      <xdr:nvSpPr>
        <xdr:cNvPr id="24" name="Rectangle: Rounded Corners 23">
          <a:extLst>
            <a:ext uri="{FF2B5EF4-FFF2-40B4-BE49-F238E27FC236}">
              <a16:creationId xmlns:a16="http://schemas.microsoft.com/office/drawing/2014/main" id="{784006C9-7E45-440F-A74C-CB7714DEFFCB}"/>
            </a:ext>
          </a:extLst>
        </xdr:cNvPr>
        <xdr:cNvSpPr/>
      </xdr:nvSpPr>
      <xdr:spPr>
        <a:xfrm>
          <a:off x="9564569" y="796458"/>
          <a:ext cx="1527447" cy="78079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a:solidFill>
                <a:schemeClr val="bg1"/>
              </a:solidFill>
            </a:rPr>
            <a:t>Cancelled</a:t>
          </a:r>
        </a:p>
        <a:p>
          <a:pPr rtl="0"/>
          <a:r>
            <a:rPr lang="en-US">
              <a:solidFill>
                <a:schemeClr val="bg1"/>
              </a:solidFill>
            </a:rPr>
            <a:t>         Bookings </a:t>
          </a:r>
        </a:p>
        <a:p>
          <a:pPr rtl="0"/>
          <a:r>
            <a:rPr lang="en-US">
              <a:solidFill>
                <a:schemeClr val="bg1"/>
              </a:solidFill>
            </a:rPr>
            <a:t>             </a:t>
          </a:r>
          <a:r>
            <a:rPr lang="en-US">
              <a:solidFill>
                <a:srgbClr val="FF0000"/>
              </a:solidFill>
            </a:rPr>
            <a:t>❌</a:t>
          </a:r>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xdr:from>
      <xdr:col>6</xdr:col>
      <xdr:colOff>650126</xdr:colOff>
      <xdr:row>3</xdr:row>
      <xdr:rowOff>66799</xdr:rowOff>
    </xdr:from>
    <xdr:to>
      <xdr:col>8</xdr:col>
      <xdr:colOff>759384</xdr:colOff>
      <xdr:row>7</xdr:row>
      <xdr:rowOff>115643</xdr:rowOff>
    </xdr:to>
    <xdr:sp macro="" textlink="">
      <xdr:nvSpPr>
        <xdr:cNvPr id="25" name="Rectangle: Rounded Corners 24">
          <a:extLst>
            <a:ext uri="{FF2B5EF4-FFF2-40B4-BE49-F238E27FC236}">
              <a16:creationId xmlns:a16="http://schemas.microsoft.com/office/drawing/2014/main" id="{781FE969-0430-478A-AAF2-32B30A65299C}"/>
            </a:ext>
          </a:extLst>
        </xdr:cNvPr>
        <xdr:cNvSpPr/>
      </xdr:nvSpPr>
      <xdr:spPr>
        <a:xfrm>
          <a:off x="7504391" y="804520"/>
          <a:ext cx="1650067" cy="795902"/>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solidFill>
                <a:schemeClr val="bg1"/>
              </a:solidFill>
            </a:rPr>
            <a:t>     Completed</a:t>
          </a:r>
        </a:p>
        <a:p>
          <a:pPr rtl="0"/>
          <a:r>
            <a:rPr lang="en-US">
              <a:solidFill>
                <a:schemeClr val="bg1"/>
              </a:solidFill>
            </a:rPr>
            <a:t>          Bookings  </a:t>
          </a:r>
        </a:p>
        <a:p>
          <a:pPr rtl="0"/>
          <a:r>
            <a:rPr lang="en-US">
              <a:solidFill>
                <a:schemeClr val="bg1"/>
              </a:solidFill>
            </a:rPr>
            <a:t>              </a:t>
          </a:r>
          <a:r>
            <a:rPr lang="en-US" sz="1100">
              <a:solidFill>
                <a:srgbClr val="00B050"/>
              </a:solidFill>
              <a:effectLst/>
              <a:latin typeface="+mn-lt"/>
              <a:ea typeface="+mn-ea"/>
              <a:cs typeface="+mn-cs"/>
            </a:rPr>
            <a:t>☑</a:t>
          </a:r>
          <a:r>
            <a:rPr lang="en-US">
              <a:solidFill>
                <a:schemeClr val="bg1"/>
              </a:solidFill>
            </a:rPr>
            <a:t> </a:t>
          </a:r>
        </a:p>
        <a:p>
          <a:pPr rtl="0"/>
          <a:endParaRPr lang="en-US">
            <a:solidFill>
              <a:schemeClr val="bg1"/>
            </a:solidFill>
          </a:endParaRPr>
        </a:p>
        <a:p>
          <a:pPr rtl="0"/>
          <a:endParaRPr lang="en-US">
            <a:solidFill>
              <a:schemeClr val="bg1"/>
            </a:solidFill>
          </a:endParaRPr>
        </a:p>
        <a:p>
          <a:pPr rtl="0"/>
          <a:r>
            <a:rPr lang="en-US" sz="1100" b="0" i="0" baseline="0">
              <a:solidFill>
                <a:schemeClr val="bg1"/>
              </a:solidFill>
              <a:effectLst/>
              <a:latin typeface="+mn-lt"/>
              <a:ea typeface="+mn-ea"/>
              <a:cs typeface="+mn-cs"/>
            </a:rPr>
            <a:t>          </a:t>
          </a:r>
          <a:endParaRPr lang="en-US" sz="1100">
            <a:solidFill>
              <a:schemeClr val="bg1"/>
            </a:solidFill>
          </a:endParaRPr>
        </a:p>
      </xdr:txBody>
    </xdr:sp>
    <xdr:clientData/>
  </xdr:twoCellAnchor>
  <xdr:twoCellAnchor editAs="oneCell">
    <xdr:from>
      <xdr:col>5</xdr:col>
      <xdr:colOff>508621</xdr:colOff>
      <xdr:row>4</xdr:row>
      <xdr:rowOff>64550</xdr:rowOff>
    </xdr:from>
    <xdr:to>
      <xdr:col>5</xdr:col>
      <xdr:colOff>940982</xdr:colOff>
      <xdr:row>6</xdr:row>
      <xdr:rowOff>46691</xdr:rowOff>
    </xdr:to>
    <xdr:pic>
      <xdr:nvPicPr>
        <xdr:cNvPr id="20" name="Graphic 19" descr="Sleep">
          <a:extLst>
            <a:ext uri="{FF2B5EF4-FFF2-40B4-BE49-F238E27FC236}">
              <a16:creationId xmlns:a16="http://schemas.microsoft.com/office/drawing/2014/main" id="{1969E937-0E72-404F-9079-DA757914DB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39577" y="989035"/>
          <a:ext cx="432361" cy="355671"/>
        </a:xfrm>
        <a:prstGeom prst="rect">
          <a:avLst/>
        </a:prstGeom>
      </xdr:spPr>
    </xdr:pic>
    <xdr:clientData/>
  </xdr:twoCellAnchor>
  <xdr:oneCellAnchor>
    <xdr:from>
      <xdr:col>5</xdr:col>
      <xdr:colOff>496484</xdr:colOff>
      <xdr:row>5</xdr:row>
      <xdr:rowOff>185830</xdr:rowOff>
    </xdr:from>
    <xdr:ext cx="693208" cy="264560"/>
    <xdr:sp macro="" textlink="">
      <xdr:nvSpPr>
        <xdr:cNvPr id="21" name="TextBox 20">
          <a:extLst>
            <a:ext uri="{FF2B5EF4-FFF2-40B4-BE49-F238E27FC236}">
              <a16:creationId xmlns:a16="http://schemas.microsoft.com/office/drawing/2014/main" id="{3D23A50E-B8C2-4A25-A5E8-A0064983E9CD}"/>
            </a:ext>
          </a:extLst>
        </xdr:cNvPr>
        <xdr:cNvSpPr txBox="1"/>
      </xdr:nvSpPr>
      <xdr:spPr>
        <a:xfrm>
          <a:off x="6127440" y="1297080"/>
          <a:ext cx="6932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bg1"/>
              </a:solidFill>
              <a:effectLst/>
              <a:latin typeface="+mn-lt"/>
              <a:ea typeface="+mn-ea"/>
              <a:cs typeface="+mn-cs"/>
            </a:rPr>
            <a:t>5.56</a:t>
          </a:r>
          <a:r>
            <a:rPr lang="en-US"/>
            <a:t> </a:t>
          </a:r>
          <a:endParaRPr lang="en-US" sz="1100"/>
        </a:p>
      </xdr:txBody>
    </xdr:sp>
    <xdr:clientData/>
  </xdr:oneCellAnchor>
  <xdr:oneCellAnchor>
    <xdr:from>
      <xdr:col>7</xdr:col>
      <xdr:colOff>344581</xdr:colOff>
      <xdr:row>6</xdr:row>
      <xdr:rowOff>94626</xdr:rowOff>
    </xdr:from>
    <xdr:ext cx="423333" cy="195792"/>
    <xdr:sp macro="" textlink="">
      <xdr:nvSpPr>
        <xdr:cNvPr id="22" name="TextBox 21">
          <a:extLst>
            <a:ext uri="{FF2B5EF4-FFF2-40B4-BE49-F238E27FC236}">
              <a16:creationId xmlns:a16="http://schemas.microsoft.com/office/drawing/2014/main" id="{3772F318-C4FC-482B-B272-3896E3A227B8}"/>
            </a:ext>
          </a:extLst>
        </xdr:cNvPr>
        <xdr:cNvSpPr txBox="1"/>
      </xdr:nvSpPr>
      <xdr:spPr>
        <a:xfrm>
          <a:off x="7964581" y="1392641"/>
          <a:ext cx="423333" cy="195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solidFill>
                <a:schemeClr val="bg1"/>
              </a:solidFill>
            </a:rPr>
            <a:t>158</a:t>
          </a:r>
        </a:p>
      </xdr:txBody>
    </xdr:sp>
    <xdr:clientData/>
  </xdr:oneCellAnchor>
  <xdr:oneCellAnchor>
    <xdr:from>
      <xdr:col>10</xdr:col>
      <xdr:colOff>412750</xdr:colOff>
      <xdr:row>6</xdr:row>
      <xdr:rowOff>21167</xdr:rowOff>
    </xdr:from>
    <xdr:ext cx="184731" cy="264560"/>
    <xdr:sp macro="" textlink="">
      <xdr:nvSpPr>
        <xdr:cNvPr id="26" name="TextBox 25">
          <a:extLst>
            <a:ext uri="{FF2B5EF4-FFF2-40B4-BE49-F238E27FC236}">
              <a16:creationId xmlns:a16="http://schemas.microsoft.com/office/drawing/2014/main" id="{EA48EE04-87B2-4806-B2B9-040BDE1C21C2}"/>
            </a:ext>
          </a:extLst>
        </xdr:cNvPr>
        <xdr:cNvSpPr txBox="1"/>
      </xdr:nvSpPr>
      <xdr:spPr>
        <a:xfrm>
          <a:off x="8842375" y="13070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1687581</xdr:colOff>
      <xdr:row>6</xdr:row>
      <xdr:rowOff>65488</xdr:rowOff>
    </xdr:from>
    <xdr:ext cx="566208" cy="264560"/>
    <xdr:sp macro="" textlink="">
      <xdr:nvSpPr>
        <xdr:cNvPr id="27" name="TextBox 26">
          <a:extLst>
            <a:ext uri="{FF2B5EF4-FFF2-40B4-BE49-F238E27FC236}">
              <a16:creationId xmlns:a16="http://schemas.microsoft.com/office/drawing/2014/main" id="{8C4701D9-0282-4BDD-A08B-1953D13FACDF}"/>
            </a:ext>
          </a:extLst>
        </xdr:cNvPr>
        <xdr:cNvSpPr txBox="1"/>
      </xdr:nvSpPr>
      <xdr:spPr>
        <a:xfrm>
          <a:off x="10055242" y="1345730"/>
          <a:ext cx="5662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bg1"/>
              </a:solidFill>
              <a:effectLst/>
              <a:latin typeface="+mn-lt"/>
              <a:ea typeface="+mn-ea"/>
              <a:cs typeface="+mn-cs"/>
            </a:rPr>
            <a:t>55</a:t>
          </a:r>
          <a:r>
            <a:rPr lang="en-US">
              <a:solidFill>
                <a:schemeClr val="bg1"/>
              </a:solidFill>
            </a:rPr>
            <a:t> </a:t>
          </a:r>
          <a:endParaRPr lang="en-US" sz="1100">
            <a:solidFill>
              <a:schemeClr val="bg1"/>
            </a:solidFill>
          </a:endParaRPr>
        </a:p>
      </xdr:txBody>
    </xdr:sp>
    <xdr:clientData/>
  </xdr:oneCellAnchor>
  <xdr:oneCellAnchor>
    <xdr:from>
      <xdr:col>0</xdr:col>
      <xdr:colOff>2017661</xdr:colOff>
      <xdr:row>0</xdr:row>
      <xdr:rowOff>0</xdr:rowOff>
    </xdr:from>
    <xdr:ext cx="747662" cy="403444"/>
    <xdr:sp macro="" textlink="">
      <xdr:nvSpPr>
        <xdr:cNvPr id="31" name="TextBox 30">
          <a:extLst>
            <a:ext uri="{FF2B5EF4-FFF2-40B4-BE49-F238E27FC236}">
              <a16:creationId xmlns:a16="http://schemas.microsoft.com/office/drawing/2014/main" id="{FE4F24DC-0D5D-49A3-AED0-59F475A2BC45}"/>
            </a:ext>
          </a:extLst>
        </xdr:cNvPr>
        <xdr:cNvSpPr txBox="1"/>
      </xdr:nvSpPr>
      <xdr:spPr>
        <a:xfrm>
          <a:off x="2017661" y="0"/>
          <a:ext cx="747662" cy="4034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effectLst/>
              <a:latin typeface="+mn-lt"/>
              <a:ea typeface="+mn-ea"/>
              <a:cs typeface="+mn-cs"/>
            </a:rPr>
            <a:t>🏨</a:t>
          </a:r>
          <a:endParaRPr lang="en-US" sz="1800">
            <a:solidFill>
              <a:schemeClr val="bg1"/>
            </a:solidFill>
          </a:endParaRPr>
        </a:p>
      </xdr:txBody>
    </xdr:sp>
    <xdr:clientData/>
  </xdr:oneCellAnchor>
  <xdr:oneCellAnchor>
    <xdr:from>
      <xdr:col>4</xdr:col>
      <xdr:colOff>614517</xdr:colOff>
      <xdr:row>10</xdr:row>
      <xdr:rowOff>276532</xdr:rowOff>
    </xdr:from>
    <xdr:ext cx="1382661" cy="342786"/>
    <xdr:sp macro="" textlink="">
      <xdr:nvSpPr>
        <xdr:cNvPr id="33" name="TextBox 32">
          <a:extLst>
            <a:ext uri="{FF2B5EF4-FFF2-40B4-BE49-F238E27FC236}">
              <a16:creationId xmlns:a16="http://schemas.microsoft.com/office/drawing/2014/main" id="{24AFFD51-9AC5-41B2-B33B-5DE011163020}"/>
            </a:ext>
          </a:extLst>
        </xdr:cNvPr>
        <xdr:cNvSpPr txBox="1"/>
      </xdr:nvSpPr>
      <xdr:spPr>
        <a:xfrm>
          <a:off x="4998065" y="2294193"/>
          <a:ext cx="13826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rPr>
            <a:t>Text</a:t>
          </a:r>
          <a:r>
            <a:rPr lang="en-US" sz="1600" baseline="0">
              <a:solidFill>
                <a:schemeClr val="bg1"/>
              </a:solidFill>
            </a:rPr>
            <a:t> Analysis</a:t>
          </a:r>
          <a:endParaRPr lang="en-US" sz="1600">
            <a:solidFill>
              <a:schemeClr val="bg1"/>
            </a:solidFill>
          </a:endParaRPr>
        </a:p>
      </xdr:txBody>
    </xdr:sp>
    <xdr:clientData/>
  </xdr:oneCellAnchor>
  <xdr:twoCellAnchor>
    <xdr:from>
      <xdr:col>10</xdr:col>
      <xdr:colOff>106004</xdr:colOff>
      <xdr:row>2</xdr:row>
      <xdr:rowOff>180428</xdr:rowOff>
    </xdr:from>
    <xdr:to>
      <xdr:col>11</xdr:col>
      <xdr:colOff>1167581</xdr:colOff>
      <xdr:row>7</xdr:row>
      <xdr:rowOff>174113</xdr:rowOff>
    </xdr:to>
    <xdr:sp macro="" textlink="">
      <xdr:nvSpPr>
        <xdr:cNvPr id="19" name="Rectangle: Rounded Corners 18">
          <a:extLst>
            <a:ext uri="{FF2B5EF4-FFF2-40B4-BE49-F238E27FC236}">
              <a16:creationId xmlns:a16="http://schemas.microsoft.com/office/drawing/2014/main" id="{E449A0DC-8FBF-4214-8FF5-71164BDF4EFD}"/>
            </a:ext>
          </a:extLst>
        </xdr:cNvPr>
        <xdr:cNvSpPr/>
      </xdr:nvSpPr>
      <xdr:spPr>
        <a:xfrm>
          <a:off x="11638423" y="723251"/>
          <a:ext cx="1686335" cy="91545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solidFill>
                <a:schemeClr val="bg1"/>
              </a:solidFill>
            </a:rPr>
            <a:t>        TOTAL MISSING</a:t>
          </a:r>
        </a:p>
        <a:p>
          <a:pPr rtl="0"/>
          <a:r>
            <a:rPr lang="en-US">
              <a:solidFill>
                <a:schemeClr val="bg1"/>
              </a:solidFill>
            </a:rPr>
            <a:t>            VALUE</a:t>
          </a:r>
        </a:p>
        <a:p>
          <a:pPr rtl="0"/>
          <a:r>
            <a:rPr lang="en-US">
              <a:solidFill>
                <a:schemeClr val="bg1"/>
              </a:solidFill>
            </a:rPr>
            <a:t>             </a:t>
          </a:r>
          <a:r>
            <a:rPr lang="en-US" sz="1100" b="0" i="0" baseline="0">
              <a:solidFill>
                <a:schemeClr val="bg1"/>
              </a:solidFill>
              <a:effectLst/>
              <a:latin typeface="+mn-lt"/>
              <a:ea typeface="+mn-ea"/>
              <a:cs typeface="+mn-cs"/>
            </a:rPr>
            <a:t>       </a:t>
          </a:r>
        </a:p>
        <a:p>
          <a:pPr rtl="0"/>
          <a:r>
            <a:rPr lang="en-US" sz="1100" b="0" i="0" baseline="0">
              <a:solidFill>
                <a:schemeClr val="bg1"/>
              </a:solidFill>
              <a:effectLst/>
              <a:latin typeface="+mn-lt"/>
              <a:ea typeface="+mn-ea"/>
              <a:cs typeface="+mn-cs"/>
            </a:rPr>
            <a:t>               115        </a:t>
          </a:r>
          <a:endParaRPr lang="en-US" sz="1100">
            <a:solidFill>
              <a:schemeClr val="bg1"/>
            </a:solidFill>
          </a:endParaRPr>
        </a:p>
      </xdr:txBody>
    </xdr:sp>
    <xdr:clientData/>
  </xdr:twoCellAnchor>
  <xdr:twoCellAnchor editAs="oneCell">
    <xdr:from>
      <xdr:col>11</xdr:col>
      <xdr:colOff>102419</xdr:colOff>
      <xdr:row>5</xdr:row>
      <xdr:rowOff>20484</xdr:rowOff>
    </xdr:from>
    <xdr:to>
      <xdr:col>11</xdr:col>
      <xdr:colOff>310124</xdr:colOff>
      <xdr:row>6</xdr:row>
      <xdr:rowOff>43834</xdr:rowOff>
    </xdr:to>
    <xdr:pic>
      <xdr:nvPicPr>
        <xdr:cNvPr id="5" name="Graphic 4" descr="Hourglass">
          <a:extLst>
            <a:ext uri="{FF2B5EF4-FFF2-40B4-BE49-F238E27FC236}">
              <a16:creationId xmlns:a16="http://schemas.microsoft.com/office/drawing/2014/main" id="{69CB8EEE-38AD-4059-A851-8F77E5E9A4C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259596" y="1116371"/>
          <a:ext cx="207705" cy="2077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1115381</xdr:colOff>
      <xdr:row>0</xdr:row>
      <xdr:rowOff>78213</xdr:rowOff>
    </xdr:from>
    <xdr:ext cx="3799417" cy="465666"/>
    <xdr:sp macro="" textlink="">
      <xdr:nvSpPr>
        <xdr:cNvPr id="2" name="TextBox 1">
          <a:extLst>
            <a:ext uri="{FF2B5EF4-FFF2-40B4-BE49-F238E27FC236}">
              <a16:creationId xmlns:a16="http://schemas.microsoft.com/office/drawing/2014/main" id="{6174A3DD-FF75-4156-8CDB-48BC2D6FD88B}"/>
            </a:ext>
          </a:extLst>
        </xdr:cNvPr>
        <xdr:cNvSpPr txBox="1"/>
      </xdr:nvSpPr>
      <xdr:spPr>
        <a:xfrm>
          <a:off x="3610931" y="78213"/>
          <a:ext cx="3799417" cy="465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chemeClr val="accent4">
                  <a:lumMod val="75000"/>
                </a:schemeClr>
              </a:solidFill>
            </a:rPr>
            <a:t>    Pivot</a:t>
          </a:r>
          <a:r>
            <a:rPr lang="en-US" sz="2400" b="1" baseline="0">
              <a:solidFill>
                <a:schemeClr val="accent4">
                  <a:lumMod val="75000"/>
                </a:schemeClr>
              </a:solidFill>
            </a:rPr>
            <a:t> Tables &amp;Pivot charts </a:t>
          </a:r>
          <a:endParaRPr lang="en-US" sz="2400" b="1">
            <a:solidFill>
              <a:schemeClr val="accent4">
                <a:lumMod val="75000"/>
              </a:schemeClr>
            </a:solidFill>
          </a:endParaRPr>
        </a:p>
      </xdr:txBody>
    </xdr:sp>
    <xdr:clientData/>
  </xdr:oneCellAnchor>
  <xdr:twoCellAnchor>
    <xdr:from>
      <xdr:col>2</xdr:col>
      <xdr:colOff>12700</xdr:colOff>
      <xdr:row>2</xdr:row>
      <xdr:rowOff>177800</xdr:rowOff>
    </xdr:from>
    <xdr:to>
      <xdr:col>7</xdr:col>
      <xdr:colOff>556032</xdr:colOff>
      <xdr:row>14</xdr:row>
      <xdr:rowOff>163264</xdr:rowOff>
    </xdr:to>
    <xdr:graphicFrame macro="">
      <xdr:nvGraphicFramePr>
        <xdr:cNvPr id="3" name="Chart 2">
          <a:extLst>
            <a:ext uri="{FF2B5EF4-FFF2-40B4-BE49-F238E27FC236}">
              <a16:creationId xmlns:a16="http://schemas.microsoft.com/office/drawing/2014/main" id="{6F31A2B9-8BDE-4CB7-9F5E-3632D2488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xdr:colOff>
      <xdr:row>14</xdr:row>
      <xdr:rowOff>146050</xdr:rowOff>
    </xdr:from>
    <xdr:to>
      <xdr:col>8</xdr:col>
      <xdr:colOff>50148</xdr:colOff>
      <xdr:row>25</xdr:row>
      <xdr:rowOff>12538</xdr:rowOff>
    </xdr:to>
    <xdr:graphicFrame macro="">
      <xdr:nvGraphicFramePr>
        <xdr:cNvPr id="4" name="Chart 3">
          <a:extLst>
            <a:ext uri="{FF2B5EF4-FFF2-40B4-BE49-F238E27FC236}">
              <a16:creationId xmlns:a16="http://schemas.microsoft.com/office/drawing/2014/main" id="{7DF180C8-F9B0-4C18-85CD-34E9F71B3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12700</xdr:colOff>
      <xdr:row>25</xdr:row>
      <xdr:rowOff>19050</xdr:rowOff>
    </xdr:from>
    <xdr:to>
      <xdr:col>8</xdr:col>
      <xdr:colOff>0</xdr:colOff>
      <xdr:row>34</xdr:row>
      <xdr:rowOff>120487</xdr:rowOff>
    </xdr:to>
    <xdr:graphicFrame macro="">
      <xdr:nvGraphicFramePr>
        <xdr:cNvPr id="5" name="Chart 4">
          <a:extLst>
            <a:ext uri="{FF2B5EF4-FFF2-40B4-BE49-F238E27FC236}">
              <a16:creationId xmlns:a16="http://schemas.microsoft.com/office/drawing/2014/main" id="{60AC579E-D919-46D1-9661-203276C93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9</xdr:col>
      <xdr:colOff>635000</xdr:colOff>
      <xdr:row>4</xdr:row>
      <xdr:rowOff>48846</xdr:rowOff>
    </xdr:from>
    <xdr:ext cx="1172307" cy="515013"/>
    <xdr:sp macro="" textlink="">
      <xdr:nvSpPr>
        <xdr:cNvPr id="6" name="TextBox 5">
          <a:extLst>
            <a:ext uri="{FF2B5EF4-FFF2-40B4-BE49-F238E27FC236}">
              <a16:creationId xmlns:a16="http://schemas.microsoft.com/office/drawing/2014/main" id="{C0F4F968-2E23-4FB8-BD09-AD94737BAADD}"/>
            </a:ext>
          </a:extLst>
        </xdr:cNvPr>
        <xdr:cNvSpPr txBox="1"/>
      </xdr:nvSpPr>
      <xdr:spPr>
        <a:xfrm>
          <a:off x="7366000" y="785446"/>
          <a:ext cx="1172307" cy="515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latin typeface="+mn-lt"/>
              <a:ea typeface="+mn-ea"/>
              <a:cs typeface="+mn-cs"/>
            </a:rPr>
            <a:t>Room Type </a:t>
          </a:r>
          <a:endParaRPr lang="en-US" sz="1600">
            <a:solidFill>
              <a:schemeClr val="bg1"/>
            </a:solidFill>
            <a:effectLst/>
          </a:endParaRPr>
        </a:p>
        <a:p>
          <a:endParaRPr lang="en-US" sz="1100"/>
        </a:p>
      </xdr:txBody>
    </xdr:sp>
    <xdr:clientData/>
  </xdr:oneCellAnchor>
  <xdr:twoCellAnchor>
    <xdr:from>
      <xdr:col>11</xdr:col>
      <xdr:colOff>19050</xdr:colOff>
      <xdr:row>3</xdr:row>
      <xdr:rowOff>0</xdr:rowOff>
    </xdr:from>
    <xdr:to>
      <xdr:col>17</xdr:col>
      <xdr:colOff>127487</xdr:colOff>
      <xdr:row>12</xdr:row>
      <xdr:rowOff>159727</xdr:rowOff>
    </xdr:to>
    <xdr:graphicFrame macro="">
      <xdr:nvGraphicFramePr>
        <xdr:cNvPr id="7" name="Chart 6">
          <a:extLst>
            <a:ext uri="{FF2B5EF4-FFF2-40B4-BE49-F238E27FC236}">
              <a16:creationId xmlns:a16="http://schemas.microsoft.com/office/drawing/2014/main" id="{7F14157C-DF5B-4018-BEA8-830A7C5F0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27214</xdr:colOff>
      <xdr:row>14</xdr:row>
      <xdr:rowOff>8163</xdr:rowOff>
    </xdr:from>
    <xdr:to>
      <xdr:col>17</xdr:col>
      <xdr:colOff>199153</xdr:colOff>
      <xdr:row>23</xdr:row>
      <xdr:rowOff>119580</xdr:rowOff>
    </xdr:to>
    <xdr:graphicFrame macro="">
      <xdr:nvGraphicFramePr>
        <xdr:cNvPr id="8" name="Chart 7">
          <a:extLst>
            <a:ext uri="{FF2B5EF4-FFF2-40B4-BE49-F238E27FC236}">
              <a16:creationId xmlns:a16="http://schemas.microsoft.com/office/drawing/2014/main" id="{8AA9FF4D-5D6A-45D7-9560-850E61AA3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154679</xdr:colOff>
      <xdr:row>36</xdr:row>
      <xdr:rowOff>56987</xdr:rowOff>
    </xdr:from>
    <xdr:ext cx="1554937" cy="301218"/>
    <xdr:sp macro="" textlink="">
      <xdr:nvSpPr>
        <xdr:cNvPr id="11" name="TextBox 10">
          <a:extLst>
            <a:ext uri="{FF2B5EF4-FFF2-40B4-BE49-F238E27FC236}">
              <a16:creationId xmlns:a16="http://schemas.microsoft.com/office/drawing/2014/main" id="{9BD7AC85-B749-47CB-9923-AC385E75A2E4}"/>
            </a:ext>
          </a:extLst>
        </xdr:cNvPr>
        <xdr:cNvSpPr txBox="1"/>
      </xdr:nvSpPr>
      <xdr:spPr>
        <a:xfrm>
          <a:off x="154679" y="1161887"/>
          <a:ext cx="1554937" cy="3012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105832</xdr:colOff>
      <xdr:row>36</xdr:row>
      <xdr:rowOff>48846</xdr:rowOff>
    </xdr:from>
    <xdr:to>
      <xdr:col>1</xdr:col>
      <xdr:colOff>1408396</xdr:colOff>
      <xdr:row>37</xdr:row>
      <xdr:rowOff>170961</xdr:rowOff>
    </xdr:to>
    <xdr:sp macro="" textlink="">
      <xdr:nvSpPr>
        <xdr:cNvPr id="12" name="Text Box 2">
          <a:extLst>
            <a:ext uri="{FF2B5EF4-FFF2-40B4-BE49-F238E27FC236}">
              <a16:creationId xmlns:a16="http://schemas.microsoft.com/office/drawing/2014/main" id="{ECAD6808-501B-443A-A520-AE20978FD0F2}"/>
            </a:ext>
          </a:extLst>
        </xdr:cNvPr>
        <xdr:cNvSpPr txBox="1">
          <a:spLocks noChangeArrowheads="1"/>
        </xdr:cNvSpPr>
      </xdr:nvSpPr>
      <xdr:spPr bwMode="auto">
        <a:xfrm>
          <a:off x="105832" y="1153746"/>
          <a:ext cx="2286814" cy="306265"/>
        </a:xfrm>
        <a:prstGeom prst="rect">
          <a:avLst/>
        </a:prstGeom>
        <a:solidFill>
          <a:srgbClr val="0B2341"/>
        </a:solidFill>
        <a:ln w="9525">
          <a:solidFill>
            <a:srgbClr val="000000"/>
          </a:solidFill>
          <a:miter lim="800000"/>
          <a:headEnd/>
          <a:tailEnd/>
        </a:ln>
      </xdr:spPr>
      <xdr:txBody>
        <a:bodyPr vertOverflow="clip" wrap="square" lIns="36576" tIns="32004" rIns="0" bIns="0" anchor="t" upright="1"/>
        <a:lstStyle/>
        <a:p>
          <a:pPr algn="l" rtl="0">
            <a:defRPr sz="1000"/>
          </a:pPr>
          <a:r>
            <a:rPr lang="en-US" sz="1200" b="0" i="0" u="none" strike="noStrike" baseline="0">
              <a:solidFill>
                <a:schemeClr val="bg1"/>
              </a:solidFill>
              <a:latin typeface="Calibri"/>
              <a:ea typeface="Calibri"/>
              <a:cs typeface="Calibri"/>
            </a:rPr>
            <a:t>REVENUE BY BOOKING STATUS</a:t>
          </a:r>
        </a:p>
      </xdr:txBody>
    </xdr:sp>
    <xdr:clientData/>
  </xdr:twoCellAnchor>
  <xdr:twoCellAnchor>
    <xdr:from>
      <xdr:col>2</xdr:col>
      <xdr:colOff>12700</xdr:colOff>
      <xdr:row>34</xdr:row>
      <xdr:rowOff>165100</xdr:rowOff>
    </xdr:from>
    <xdr:to>
      <xdr:col>8</xdr:col>
      <xdr:colOff>65114</xdr:colOff>
      <xdr:row>45</xdr:row>
      <xdr:rowOff>165402</xdr:rowOff>
    </xdr:to>
    <xdr:graphicFrame macro="">
      <xdr:nvGraphicFramePr>
        <xdr:cNvPr id="13" name="Chart 12">
          <a:extLst>
            <a:ext uri="{FF2B5EF4-FFF2-40B4-BE49-F238E27FC236}">
              <a16:creationId xmlns:a16="http://schemas.microsoft.com/office/drawing/2014/main" id="{504F0F9F-50C6-442E-AF3C-3B3349BBA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80634</xdr:colOff>
      <xdr:row>25</xdr:row>
      <xdr:rowOff>40316</xdr:rowOff>
    </xdr:from>
    <xdr:to>
      <xdr:col>10</xdr:col>
      <xdr:colOff>1431270</xdr:colOff>
      <xdr:row>26</xdr:row>
      <xdr:rowOff>60476</xdr:rowOff>
    </xdr:to>
    <xdr:sp macro="" textlink="">
      <xdr:nvSpPr>
        <xdr:cNvPr id="15" name="Text Box 3">
          <a:extLst>
            <a:ext uri="{FF2B5EF4-FFF2-40B4-BE49-F238E27FC236}">
              <a16:creationId xmlns:a16="http://schemas.microsoft.com/office/drawing/2014/main" id="{F7242F67-5DBB-4023-9CD2-1B0D1CC616C6}"/>
            </a:ext>
          </a:extLst>
        </xdr:cNvPr>
        <xdr:cNvSpPr txBox="1">
          <a:spLocks noChangeArrowheads="1"/>
        </xdr:cNvSpPr>
      </xdr:nvSpPr>
      <xdr:spPr bwMode="auto">
        <a:xfrm>
          <a:off x="6779884" y="1145216"/>
          <a:ext cx="2277736" cy="204310"/>
        </a:xfrm>
        <a:prstGeom prst="rect">
          <a:avLst/>
        </a:prstGeom>
        <a:solidFill>
          <a:srgbClr val="0B2341"/>
        </a:solidFill>
        <a:ln w="9525">
          <a:solidFill>
            <a:srgbClr val="000000"/>
          </a:solidFill>
          <a:miter lim="800000"/>
          <a:headEnd/>
          <a:tailEnd/>
        </a:ln>
      </xdr:spPr>
      <xdr:txBody>
        <a:bodyPr vertOverflow="clip" wrap="square" lIns="27432" tIns="27432" rIns="0" bIns="0" anchor="t" upright="1"/>
        <a:lstStyle/>
        <a:p>
          <a:pPr algn="l" rtl="0">
            <a:defRPr sz="1000"/>
          </a:pPr>
          <a:r>
            <a:rPr lang="en-US" sz="1200" b="0" i="0" u="none" strike="noStrike" baseline="0">
              <a:solidFill>
                <a:schemeClr val="bg1"/>
              </a:solidFill>
              <a:latin typeface="Calibri"/>
              <a:ea typeface="Calibri"/>
              <a:cs typeface="Calibri"/>
            </a:rPr>
            <a:t>BOOKING STATUS DISTRIBUTION</a:t>
          </a:r>
        </a:p>
      </xdr:txBody>
    </xdr:sp>
    <xdr:clientData/>
  </xdr:twoCellAnchor>
  <xdr:twoCellAnchor>
    <xdr:from>
      <xdr:col>11</xdr:col>
      <xdr:colOff>0</xdr:colOff>
      <xdr:row>23</xdr:row>
      <xdr:rowOff>107950</xdr:rowOff>
    </xdr:from>
    <xdr:to>
      <xdr:col>17</xdr:col>
      <xdr:colOff>219855</xdr:colOff>
      <xdr:row>34</xdr:row>
      <xdr:rowOff>19050</xdr:rowOff>
    </xdr:to>
    <xdr:graphicFrame macro="">
      <xdr:nvGraphicFramePr>
        <xdr:cNvPr id="16" name="Chart 15">
          <a:extLst>
            <a:ext uri="{FF2B5EF4-FFF2-40B4-BE49-F238E27FC236}">
              <a16:creationId xmlns:a16="http://schemas.microsoft.com/office/drawing/2014/main" id="{F44CEDF4-7BA3-44DB-A933-1D13C3EAE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1</xdr:colOff>
      <xdr:row>36</xdr:row>
      <xdr:rowOff>30237</xdr:rowOff>
    </xdr:from>
    <xdr:ext cx="2187222" cy="282223"/>
    <xdr:sp macro="" textlink="">
      <xdr:nvSpPr>
        <xdr:cNvPr id="17" name="TextBox 16">
          <a:extLst>
            <a:ext uri="{FF2B5EF4-FFF2-40B4-BE49-F238E27FC236}">
              <a16:creationId xmlns:a16="http://schemas.microsoft.com/office/drawing/2014/main" id="{8482F1F4-94BD-4536-ABBE-AA4C311EE4AE}"/>
            </a:ext>
          </a:extLst>
        </xdr:cNvPr>
        <xdr:cNvSpPr txBox="1"/>
      </xdr:nvSpPr>
      <xdr:spPr>
        <a:xfrm>
          <a:off x="1" y="3160787"/>
          <a:ext cx="2187222" cy="282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solidFill>
                <a:schemeClr val="bg1"/>
              </a:solidFill>
            </a:rPr>
            <a:t>AVERAGE ROOM RATE BY ROOM TYPE</a:t>
          </a:r>
        </a:p>
      </xdr:txBody>
    </xdr:sp>
    <xdr:clientData/>
  </xdr:oneCellAnchor>
  <xdr:twoCellAnchor>
    <xdr:from>
      <xdr:col>11</xdr:col>
      <xdr:colOff>31750</xdr:colOff>
      <xdr:row>34</xdr:row>
      <xdr:rowOff>177800</xdr:rowOff>
    </xdr:from>
    <xdr:to>
      <xdr:col>17</xdr:col>
      <xdr:colOff>76302</xdr:colOff>
      <xdr:row>45</xdr:row>
      <xdr:rowOff>157943</xdr:rowOff>
    </xdr:to>
    <xdr:graphicFrame macro="">
      <xdr:nvGraphicFramePr>
        <xdr:cNvPr id="18" name="Chart 17">
          <a:extLst>
            <a:ext uri="{FF2B5EF4-FFF2-40B4-BE49-F238E27FC236}">
              <a16:creationId xmlns:a16="http://schemas.microsoft.com/office/drawing/2014/main" id="{F6DA6D08-FE2F-4BB7-B714-F3226704A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90714</xdr:colOff>
      <xdr:row>47</xdr:row>
      <xdr:rowOff>50396</xdr:rowOff>
    </xdr:from>
    <xdr:ext cx="2116667" cy="231827"/>
    <xdr:sp macro="" textlink="">
      <xdr:nvSpPr>
        <xdr:cNvPr id="19" name="TextBox 18">
          <a:extLst>
            <a:ext uri="{FF2B5EF4-FFF2-40B4-BE49-F238E27FC236}">
              <a16:creationId xmlns:a16="http://schemas.microsoft.com/office/drawing/2014/main" id="{B85B1EA0-F2BB-409C-B948-1D94F8D4B65A}"/>
            </a:ext>
          </a:extLst>
        </xdr:cNvPr>
        <xdr:cNvSpPr txBox="1"/>
      </xdr:nvSpPr>
      <xdr:spPr>
        <a:xfrm>
          <a:off x="90714" y="5022446"/>
          <a:ext cx="2116667" cy="2318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aseline="0">
              <a:solidFill>
                <a:schemeClr val="bg1"/>
              </a:solidFill>
            </a:rPr>
            <a:t> </a:t>
          </a:r>
          <a:r>
            <a:rPr lang="en-US" sz="1200">
              <a:solidFill>
                <a:schemeClr val="bg1"/>
              </a:solidFill>
            </a:rPr>
            <a:t> REVENUE COMPARISON</a:t>
          </a:r>
        </a:p>
        <a:p>
          <a:endParaRPr lang="en-US" sz="1100"/>
        </a:p>
      </xdr:txBody>
    </xdr:sp>
    <xdr:clientData/>
  </xdr:oneCellAnchor>
  <xdr:twoCellAnchor>
    <xdr:from>
      <xdr:col>2</xdr:col>
      <xdr:colOff>22412</xdr:colOff>
      <xdr:row>46</xdr:row>
      <xdr:rowOff>112059</xdr:rowOff>
    </xdr:from>
    <xdr:to>
      <xdr:col>7</xdr:col>
      <xdr:colOff>572924</xdr:colOff>
      <xdr:row>57</xdr:row>
      <xdr:rowOff>164234</xdr:rowOff>
    </xdr:to>
    <xdr:graphicFrame macro="">
      <xdr:nvGraphicFramePr>
        <xdr:cNvPr id="20" name="Chart 19">
          <a:extLst>
            <a:ext uri="{FF2B5EF4-FFF2-40B4-BE49-F238E27FC236}">
              <a16:creationId xmlns:a16="http://schemas.microsoft.com/office/drawing/2014/main" id="{3F6DC77A-AF1C-44D8-B4E2-373110BD8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9</xdr:col>
      <xdr:colOff>282222</xdr:colOff>
      <xdr:row>48</xdr:row>
      <xdr:rowOff>70555</xdr:rowOff>
    </xdr:from>
    <xdr:ext cx="1975555" cy="241905"/>
    <xdr:sp macro="" textlink="">
      <xdr:nvSpPr>
        <xdr:cNvPr id="21" name="TextBox 20">
          <a:extLst>
            <a:ext uri="{FF2B5EF4-FFF2-40B4-BE49-F238E27FC236}">
              <a16:creationId xmlns:a16="http://schemas.microsoft.com/office/drawing/2014/main" id="{5091D306-2F7B-4F54-B1D7-085EE11800CB}"/>
            </a:ext>
          </a:extLst>
        </xdr:cNvPr>
        <xdr:cNvSpPr txBox="1"/>
      </xdr:nvSpPr>
      <xdr:spPr>
        <a:xfrm>
          <a:off x="6981472" y="3385255"/>
          <a:ext cx="1975555" cy="241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9</xdr:col>
      <xdr:colOff>50397</xdr:colOff>
      <xdr:row>48</xdr:row>
      <xdr:rowOff>60476</xdr:rowOff>
    </xdr:from>
    <xdr:to>
      <xdr:col>10</xdr:col>
      <xdr:colOff>1501826</xdr:colOff>
      <xdr:row>49</xdr:row>
      <xdr:rowOff>120952</xdr:rowOff>
    </xdr:to>
    <xdr:sp macro="" textlink="">
      <xdr:nvSpPr>
        <xdr:cNvPr id="22" name="Text Box 4">
          <a:extLst>
            <a:ext uri="{FF2B5EF4-FFF2-40B4-BE49-F238E27FC236}">
              <a16:creationId xmlns:a16="http://schemas.microsoft.com/office/drawing/2014/main" id="{0A58479F-F553-480C-AFDD-00122319C2FA}"/>
            </a:ext>
          </a:extLst>
        </xdr:cNvPr>
        <xdr:cNvSpPr txBox="1">
          <a:spLocks noChangeArrowheads="1"/>
        </xdr:cNvSpPr>
      </xdr:nvSpPr>
      <xdr:spPr bwMode="auto">
        <a:xfrm>
          <a:off x="6749647" y="3375176"/>
          <a:ext cx="2378529" cy="244626"/>
        </a:xfrm>
        <a:prstGeom prst="rect">
          <a:avLst/>
        </a:prstGeom>
        <a:solidFill>
          <a:srgbClr val="0B2341"/>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chemeClr val="bg1"/>
              </a:solidFill>
              <a:latin typeface="Calibri"/>
              <a:ea typeface="Calibri"/>
              <a:cs typeface="Calibri"/>
            </a:rPr>
            <a:t>  AVERAGE NIGHTS BY CUSTOMER TYPE</a:t>
          </a:r>
        </a:p>
      </xdr:txBody>
    </xdr:sp>
    <xdr:clientData/>
  </xdr:twoCellAnchor>
  <xdr:twoCellAnchor>
    <xdr:from>
      <xdr:col>11</xdr:col>
      <xdr:colOff>0</xdr:colOff>
      <xdr:row>48</xdr:row>
      <xdr:rowOff>0</xdr:rowOff>
    </xdr:from>
    <xdr:to>
      <xdr:col>17</xdr:col>
      <xdr:colOff>210659</xdr:colOff>
      <xdr:row>58</xdr:row>
      <xdr:rowOff>50396</xdr:rowOff>
    </xdr:to>
    <xdr:graphicFrame macro="">
      <xdr:nvGraphicFramePr>
        <xdr:cNvPr id="23" name="Chart 22">
          <a:extLst>
            <a:ext uri="{FF2B5EF4-FFF2-40B4-BE49-F238E27FC236}">
              <a16:creationId xmlns:a16="http://schemas.microsoft.com/office/drawing/2014/main" id="{36D57A73-1B09-4581-8A4C-4B0539CDB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26095</xdr:colOff>
      <xdr:row>0</xdr:row>
      <xdr:rowOff>80784</xdr:rowOff>
    </xdr:from>
    <xdr:ext cx="7611301" cy="1477649"/>
    <xdr:sp macro="" textlink="">
      <xdr:nvSpPr>
        <xdr:cNvPr id="7" name="TextBox 6">
          <a:extLst>
            <a:ext uri="{FF2B5EF4-FFF2-40B4-BE49-F238E27FC236}">
              <a16:creationId xmlns:a16="http://schemas.microsoft.com/office/drawing/2014/main" id="{548E62FD-C031-4B2B-A108-D43FC3458AE5}"/>
            </a:ext>
          </a:extLst>
        </xdr:cNvPr>
        <xdr:cNvSpPr txBox="1"/>
      </xdr:nvSpPr>
      <xdr:spPr>
        <a:xfrm>
          <a:off x="1243903" y="80784"/>
          <a:ext cx="7611301" cy="1477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4">
                  <a:lumMod val="75000"/>
                </a:schemeClr>
              </a:solidFill>
            </a:rPr>
            <a:t> </a:t>
          </a:r>
          <a:r>
            <a:rPr lang="en-US" sz="2400" b="1">
              <a:solidFill>
                <a:schemeClr val="accent4">
                  <a:lumMod val="75000"/>
                </a:schemeClr>
              </a:solidFill>
              <a:effectLst/>
              <a:latin typeface="+mn-lt"/>
              <a:ea typeface="+mn-ea"/>
              <a:cs typeface="+mn-cs"/>
            </a:rPr>
            <a:t>🏨</a:t>
          </a:r>
          <a:r>
            <a:rPr lang="en-US" sz="2000" b="1">
              <a:solidFill>
                <a:schemeClr val="accent4">
                  <a:lumMod val="75000"/>
                </a:schemeClr>
              </a:solidFill>
              <a:effectLst/>
              <a:latin typeface="+mn-lt"/>
              <a:ea typeface="+mn-ea"/>
              <a:cs typeface="+mn-cs"/>
            </a:rPr>
            <a:t> </a:t>
          </a:r>
          <a:r>
            <a:rPr lang="en-US" sz="2400" b="1">
              <a:solidFill>
                <a:schemeClr val="accent4">
                  <a:lumMod val="75000"/>
                </a:schemeClr>
              </a:solidFill>
            </a:rPr>
            <a:t>HOTEL BOOKING ANALYSIS DASHBOARD:1</a:t>
          </a: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mn-lt"/>
              <a:ea typeface="+mn-ea"/>
              <a:cs typeface="+mn-cs"/>
            </a:rPr>
            <a:t>                                                     BOOKING </a:t>
          </a:r>
          <a:r>
            <a:rPr lang="en-US" sz="1400" b="1" baseline="0">
              <a:solidFill>
                <a:schemeClr val="bg1"/>
              </a:solidFill>
              <a:effectLst/>
              <a:latin typeface="+mn-lt"/>
              <a:ea typeface="+mn-ea"/>
              <a:cs typeface="+mn-cs"/>
            </a:rPr>
            <a:t> OVERVIEW</a:t>
          </a:r>
          <a:endParaRPr lang="en-US" sz="1400">
            <a:solidFill>
              <a:schemeClr val="bg1"/>
            </a:solidFill>
            <a:effectLst/>
          </a:endParaRPr>
        </a:p>
        <a:p>
          <a:endParaRPr lang="en-US" sz="2400" b="1">
            <a:solidFill>
              <a:schemeClr val="accent4">
                <a:lumMod val="75000"/>
              </a:schemeClr>
            </a:solidFill>
          </a:endParaRPr>
        </a:p>
        <a:p>
          <a:endParaRPr lang="en-US" sz="2400" b="1">
            <a:solidFill>
              <a:schemeClr val="accent4">
                <a:lumMod val="75000"/>
              </a:schemeClr>
            </a:solidFill>
            <a:latin typeface="+mn-lt"/>
          </a:endParaRPr>
        </a:p>
      </xdr:txBody>
    </xdr:sp>
    <xdr:clientData/>
  </xdr:oneCellAnchor>
  <xdr:twoCellAnchor>
    <xdr:from>
      <xdr:col>4</xdr:col>
      <xdr:colOff>116332</xdr:colOff>
      <xdr:row>5</xdr:row>
      <xdr:rowOff>89397</xdr:rowOff>
    </xdr:from>
    <xdr:to>
      <xdr:col>6</xdr:col>
      <xdr:colOff>392134</xdr:colOff>
      <xdr:row>9</xdr:row>
      <xdr:rowOff>173553</xdr:rowOff>
    </xdr:to>
    <xdr:sp macro="" textlink="">
      <xdr:nvSpPr>
        <xdr:cNvPr id="8" name="Rectangle: Rounded Corners 7">
          <a:extLst>
            <a:ext uri="{FF2B5EF4-FFF2-40B4-BE49-F238E27FC236}">
              <a16:creationId xmlns:a16="http://schemas.microsoft.com/office/drawing/2014/main" id="{BFA99483-BE02-4FA4-87FE-BEE9F8E67114}"/>
            </a:ext>
          </a:extLst>
        </xdr:cNvPr>
        <xdr:cNvSpPr/>
      </xdr:nvSpPr>
      <xdr:spPr>
        <a:xfrm>
          <a:off x="2551948" y="820082"/>
          <a:ext cx="1493611" cy="814841"/>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TOTAL REVENUE</a:t>
          </a:r>
          <a:endParaRPr lang="en-US">
            <a:solidFill>
              <a:schemeClr val="bg1"/>
            </a:solidFill>
            <a:effectLst/>
          </a:endParaRPr>
        </a:p>
        <a:p>
          <a:pPr rtl="0"/>
          <a:r>
            <a:rPr lang="en-US" sz="1100" b="0" i="0" baseline="0">
              <a:solidFill>
                <a:schemeClr val="accent1"/>
              </a:solidFill>
              <a:effectLst/>
              <a:latin typeface="+mn-lt"/>
              <a:ea typeface="+mn-ea"/>
              <a:cs typeface="+mn-cs"/>
            </a:rPr>
            <a:t>      </a:t>
          </a:r>
          <a:endParaRPr lang="en-US">
            <a:solidFill>
              <a:schemeClr val="accent1"/>
            </a:solidFill>
            <a:effectLst/>
          </a:endParaRPr>
        </a:p>
        <a:p>
          <a:pPr rtl="0"/>
          <a:r>
            <a:rPr lang="en-US" sz="1100" b="0" i="0">
              <a:solidFill>
                <a:schemeClr val="bg1"/>
              </a:solidFill>
              <a:effectLst/>
              <a:latin typeface="+mn-lt"/>
              <a:ea typeface="+mn-ea"/>
              <a:cs typeface="+mn-cs"/>
            </a:rPr>
            <a:t>       22,369.17</a:t>
          </a:r>
          <a:endParaRPr lang="en-US">
            <a:solidFill>
              <a:schemeClr val="bg1"/>
            </a:solidFill>
            <a:effectLst/>
          </a:endParaRPr>
        </a:p>
        <a:p>
          <a:pPr algn="l"/>
          <a:endParaRPr lang="en-US" sz="1100">
            <a:solidFill>
              <a:schemeClr val="accent1"/>
            </a:solidFill>
          </a:endParaRPr>
        </a:p>
      </xdr:txBody>
    </xdr:sp>
    <xdr:clientData/>
  </xdr:twoCellAnchor>
  <xdr:twoCellAnchor>
    <xdr:from>
      <xdr:col>0</xdr:col>
      <xdr:colOff>237168</xdr:colOff>
      <xdr:row>5</xdr:row>
      <xdr:rowOff>61204</xdr:rowOff>
    </xdr:from>
    <xdr:to>
      <xdr:col>2</xdr:col>
      <xdr:colOff>493162</xdr:colOff>
      <xdr:row>9</xdr:row>
      <xdr:rowOff>160661</xdr:rowOff>
    </xdr:to>
    <xdr:sp macro="" textlink="">
      <xdr:nvSpPr>
        <xdr:cNvPr id="9" name="Rectangle: Rounded Corners 8">
          <a:extLst>
            <a:ext uri="{FF2B5EF4-FFF2-40B4-BE49-F238E27FC236}">
              <a16:creationId xmlns:a16="http://schemas.microsoft.com/office/drawing/2014/main" id="{3ECFFB06-040A-499D-AF24-DD6066CD143A}"/>
            </a:ext>
          </a:extLst>
        </xdr:cNvPr>
        <xdr:cNvSpPr/>
      </xdr:nvSpPr>
      <xdr:spPr>
        <a:xfrm>
          <a:off x="237168" y="795662"/>
          <a:ext cx="1480090" cy="833915"/>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400">
              <a:solidFill>
                <a:schemeClr val="bg1"/>
              </a:solidFill>
            </a:rPr>
            <a:t>TOTAL RECORDS</a:t>
          </a:r>
        </a:p>
        <a:p>
          <a:pPr rtl="0"/>
          <a:r>
            <a:rPr lang="en-US" sz="1200" b="0" i="0" baseline="0">
              <a:solidFill>
                <a:schemeClr val="tx1"/>
              </a:solidFill>
              <a:effectLst/>
              <a:latin typeface="+mn-lt"/>
              <a:ea typeface="+mn-ea"/>
              <a:cs typeface="+mn-cs"/>
            </a:rPr>
            <a:t>      </a:t>
          </a:r>
          <a:endParaRPr lang="en-US" sz="1200">
            <a:solidFill>
              <a:schemeClr val="tx1"/>
            </a:solidFill>
            <a:effectLst/>
          </a:endParaRPr>
        </a:p>
        <a:p>
          <a:pPr rtl="0"/>
          <a:r>
            <a:rPr lang="en-US" sz="1400" b="0" i="0">
              <a:solidFill>
                <a:schemeClr val="tx1"/>
              </a:solidFill>
              <a:effectLst/>
              <a:latin typeface="+mn-lt"/>
              <a:ea typeface="+mn-ea"/>
              <a:cs typeface="+mn-cs"/>
            </a:rPr>
            <a:t>        </a:t>
          </a:r>
          <a:r>
            <a:rPr lang="en-US" sz="1400" b="0" i="0">
              <a:solidFill>
                <a:schemeClr val="bg1"/>
              </a:solidFill>
              <a:effectLst/>
              <a:latin typeface="+mn-lt"/>
              <a:ea typeface="+mn-ea"/>
              <a:cs typeface="+mn-cs"/>
            </a:rPr>
            <a:t>292</a:t>
          </a:r>
          <a:endParaRPr lang="en-US" sz="1400">
            <a:solidFill>
              <a:schemeClr val="bg1"/>
            </a:solidFill>
          </a:endParaRPr>
        </a:p>
      </xdr:txBody>
    </xdr:sp>
    <xdr:clientData/>
  </xdr:twoCellAnchor>
  <xdr:twoCellAnchor editAs="oneCell">
    <xdr:from>
      <xdr:col>1</xdr:col>
      <xdr:colOff>128698</xdr:colOff>
      <xdr:row>6</xdr:row>
      <xdr:rowOff>175435</xdr:rowOff>
    </xdr:from>
    <xdr:to>
      <xdr:col>1</xdr:col>
      <xdr:colOff>335266</xdr:colOff>
      <xdr:row>8</xdr:row>
      <xdr:rowOff>15716</xdr:rowOff>
    </xdr:to>
    <xdr:pic>
      <xdr:nvPicPr>
        <xdr:cNvPr id="11" name="Graphic 10" descr="Users">
          <a:extLst>
            <a:ext uri="{FF2B5EF4-FFF2-40B4-BE49-F238E27FC236}">
              <a16:creationId xmlns:a16="http://schemas.microsoft.com/office/drawing/2014/main" id="{722BBA33-59BC-40F8-B5B0-A25235EB4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7602" y="1088791"/>
          <a:ext cx="206568" cy="205624"/>
        </a:xfrm>
        <a:prstGeom prst="rect">
          <a:avLst/>
        </a:prstGeom>
      </xdr:spPr>
    </xdr:pic>
    <xdr:clientData/>
  </xdr:twoCellAnchor>
  <xdr:twoCellAnchor editAs="oneCell">
    <xdr:from>
      <xdr:col>5</xdr:col>
      <xdr:colOff>23159</xdr:colOff>
      <xdr:row>6</xdr:row>
      <xdr:rowOff>120000</xdr:rowOff>
    </xdr:from>
    <xdr:to>
      <xdr:col>5</xdr:col>
      <xdr:colOff>256655</xdr:colOff>
      <xdr:row>7</xdr:row>
      <xdr:rowOff>169880</xdr:rowOff>
    </xdr:to>
    <xdr:pic>
      <xdr:nvPicPr>
        <xdr:cNvPr id="13" name="Graphic 12" descr="Bar graph with upward trend">
          <a:extLst>
            <a:ext uri="{FF2B5EF4-FFF2-40B4-BE49-F238E27FC236}">
              <a16:creationId xmlns:a16="http://schemas.microsoft.com/office/drawing/2014/main" id="{60419B6E-E0A6-4131-B9AB-5183EFDE07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067680" y="1033356"/>
          <a:ext cx="233496" cy="232552"/>
        </a:xfrm>
        <a:prstGeom prst="rect">
          <a:avLst/>
        </a:prstGeom>
      </xdr:spPr>
    </xdr:pic>
    <xdr:clientData/>
  </xdr:twoCellAnchor>
  <xdr:twoCellAnchor>
    <xdr:from>
      <xdr:col>7</xdr:col>
      <xdr:colOff>296591</xdr:colOff>
      <xdr:row>5</xdr:row>
      <xdr:rowOff>71999</xdr:rowOff>
    </xdr:from>
    <xdr:to>
      <xdr:col>9</xdr:col>
      <xdr:colOff>565411</xdr:colOff>
      <xdr:row>9</xdr:row>
      <xdr:rowOff>173973</xdr:rowOff>
    </xdr:to>
    <xdr:sp macro="" textlink="">
      <xdr:nvSpPr>
        <xdr:cNvPr id="14" name="Rectangle: Rounded Corners 13">
          <a:extLst>
            <a:ext uri="{FF2B5EF4-FFF2-40B4-BE49-F238E27FC236}">
              <a16:creationId xmlns:a16="http://schemas.microsoft.com/office/drawing/2014/main" id="{5F6EA5A0-0CD3-4D49-A15A-DD69A25DF3C3}"/>
            </a:ext>
          </a:extLst>
        </xdr:cNvPr>
        <xdr:cNvSpPr/>
      </xdr:nvSpPr>
      <xdr:spPr>
        <a:xfrm>
          <a:off x="4558920" y="802684"/>
          <a:ext cx="1486628" cy="832659"/>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b="1"/>
            <a:t>CompletedBookings  </a:t>
          </a:r>
        </a:p>
        <a:p>
          <a:pPr rtl="0"/>
          <a:r>
            <a:rPr lang="en-US" sz="1100">
              <a:solidFill>
                <a:schemeClr val="lt1"/>
              </a:solidFill>
              <a:effectLst/>
              <a:latin typeface="+mn-lt"/>
              <a:ea typeface="+mn-ea"/>
              <a:cs typeface="+mn-cs"/>
            </a:rPr>
            <a:t>              </a:t>
          </a:r>
          <a:r>
            <a:rPr lang="en-US">
              <a:solidFill>
                <a:srgbClr val="00B050"/>
              </a:solidFill>
            </a:rPr>
            <a:t>☑</a:t>
          </a:r>
          <a:r>
            <a:rPr lang="en-US"/>
            <a:t>                      </a:t>
          </a:r>
          <a:endParaRPr lang="en-US" sz="1100">
            <a:solidFill>
              <a:schemeClr val="accent1"/>
            </a:solidFill>
          </a:endParaRPr>
        </a:p>
      </xdr:txBody>
    </xdr:sp>
    <xdr:clientData/>
  </xdr:twoCellAnchor>
  <xdr:twoCellAnchor>
    <xdr:from>
      <xdr:col>11</xdr:col>
      <xdr:colOff>222705</xdr:colOff>
      <xdr:row>5</xdr:row>
      <xdr:rowOff>45903</xdr:rowOff>
    </xdr:from>
    <xdr:to>
      <xdr:col>13</xdr:col>
      <xdr:colOff>101514</xdr:colOff>
      <xdr:row>9</xdr:row>
      <xdr:rowOff>130059</xdr:rowOff>
    </xdr:to>
    <xdr:sp macro="" textlink="">
      <xdr:nvSpPr>
        <xdr:cNvPr id="15" name="Rectangle: Rounded Corners 14">
          <a:extLst>
            <a:ext uri="{FF2B5EF4-FFF2-40B4-BE49-F238E27FC236}">
              <a16:creationId xmlns:a16="http://schemas.microsoft.com/office/drawing/2014/main" id="{D53FDCBC-17AA-4B71-A677-43CEF10BD29A}"/>
            </a:ext>
          </a:extLst>
        </xdr:cNvPr>
        <xdr:cNvSpPr/>
      </xdr:nvSpPr>
      <xdr:spPr>
        <a:xfrm>
          <a:off x="6920650" y="776588"/>
          <a:ext cx="1496754" cy="814841"/>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b="1"/>
            <a:t>  Cancelled Bookings</a:t>
          </a:r>
        </a:p>
        <a:p>
          <a:pPr rtl="0"/>
          <a:r>
            <a:rPr lang="en-US"/>
            <a:t>            </a:t>
          </a:r>
          <a:r>
            <a:rPr lang="en-US">
              <a:solidFill>
                <a:srgbClr val="FF0000"/>
              </a:solidFill>
            </a:rPr>
            <a:t>❌</a:t>
          </a:r>
          <a:r>
            <a:rPr lang="en-US"/>
            <a:t> </a:t>
          </a:r>
          <a:br>
            <a:rPr lang="en-US"/>
          </a:br>
          <a:r>
            <a:rPr lang="en-US"/>
            <a:t>             </a:t>
          </a:r>
          <a:r>
            <a:rPr lang="en-US" b="1"/>
            <a:t>55</a:t>
          </a:r>
          <a:r>
            <a:rPr lang="en-US" sz="1100" b="0" i="0" baseline="0">
              <a:solidFill>
                <a:schemeClr val="accent1"/>
              </a:solidFill>
              <a:effectLst/>
              <a:latin typeface="+mn-lt"/>
              <a:ea typeface="+mn-ea"/>
              <a:cs typeface="+mn-cs"/>
            </a:rPr>
            <a:t>      </a:t>
          </a:r>
          <a:endParaRPr lang="en-US">
            <a:solidFill>
              <a:schemeClr val="accent1"/>
            </a:solidFill>
            <a:effectLst/>
          </a:endParaRPr>
        </a:p>
        <a:p>
          <a:pPr algn="l"/>
          <a:r>
            <a:rPr lang="en-US" sz="1100">
              <a:solidFill>
                <a:schemeClr val="accent1"/>
              </a:solidFill>
            </a:rPr>
            <a:t>  </a:t>
          </a:r>
        </a:p>
      </xdr:txBody>
    </xdr:sp>
    <xdr:clientData/>
  </xdr:twoCellAnchor>
  <xdr:twoCellAnchor>
    <xdr:from>
      <xdr:col>2</xdr:col>
      <xdr:colOff>336176</xdr:colOff>
      <xdr:row>11</xdr:row>
      <xdr:rowOff>46691</xdr:rowOff>
    </xdr:from>
    <xdr:to>
      <xdr:col>8</xdr:col>
      <xdr:colOff>279640</xdr:colOff>
      <xdr:row>23</xdr:row>
      <xdr:rowOff>34041</xdr:rowOff>
    </xdr:to>
    <xdr:graphicFrame macro="">
      <xdr:nvGraphicFramePr>
        <xdr:cNvPr id="16" name="Chart 15">
          <a:extLst>
            <a:ext uri="{FF2B5EF4-FFF2-40B4-BE49-F238E27FC236}">
              <a16:creationId xmlns:a16="http://schemas.microsoft.com/office/drawing/2014/main" id="{34183170-4885-49A2-BA26-AE8EF8F9C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494927</xdr:colOff>
      <xdr:row>11</xdr:row>
      <xdr:rowOff>56030</xdr:rowOff>
    </xdr:from>
    <xdr:to>
      <xdr:col>14</xdr:col>
      <xdr:colOff>319366</xdr:colOff>
      <xdr:row>22</xdr:row>
      <xdr:rowOff>168089</xdr:rowOff>
    </xdr:to>
    <xdr:graphicFrame macro="">
      <xdr:nvGraphicFramePr>
        <xdr:cNvPr id="17" name="Chart 16">
          <a:extLst>
            <a:ext uri="{FF2B5EF4-FFF2-40B4-BE49-F238E27FC236}">
              <a16:creationId xmlns:a16="http://schemas.microsoft.com/office/drawing/2014/main" id="{E68B72C8-97E5-49B2-95DD-97CB2C978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270809</xdr:colOff>
      <xdr:row>23</xdr:row>
      <xdr:rowOff>140073</xdr:rowOff>
    </xdr:from>
    <xdr:to>
      <xdr:col>8</xdr:col>
      <xdr:colOff>324339</xdr:colOff>
      <xdr:row>34</xdr:row>
      <xdr:rowOff>62733</xdr:rowOff>
    </xdr:to>
    <xdr:graphicFrame macro="">
      <xdr:nvGraphicFramePr>
        <xdr:cNvPr id="18" name="Chart 17">
          <a:extLst>
            <a:ext uri="{FF2B5EF4-FFF2-40B4-BE49-F238E27FC236}">
              <a16:creationId xmlns:a16="http://schemas.microsoft.com/office/drawing/2014/main" id="{2254C824-1008-4D7C-A955-2C0389180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494927</xdr:colOff>
      <xdr:row>23</xdr:row>
      <xdr:rowOff>130736</xdr:rowOff>
    </xdr:from>
    <xdr:to>
      <xdr:col>14</xdr:col>
      <xdr:colOff>438898</xdr:colOff>
      <xdr:row>34</xdr:row>
      <xdr:rowOff>130737</xdr:rowOff>
    </xdr:to>
    <xdr:graphicFrame macro="">
      <xdr:nvGraphicFramePr>
        <xdr:cNvPr id="19" name="Chart 18">
          <a:extLst>
            <a:ext uri="{FF2B5EF4-FFF2-40B4-BE49-F238E27FC236}">
              <a16:creationId xmlns:a16="http://schemas.microsoft.com/office/drawing/2014/main" id="{773CF7DD-E367-4D79-B47D-CB3BD797A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84043</xdr:colOff>
      <xdr:row>35</xdr:row>
      <xdr:rowOff>121397</xdr:rowOff>
    </xdr:from>
    <xdr:to>
      <xdr:col>8</xdr:col>
      <xdr:colOff>226473</xdr:colOff>
      <xdr:row>45</xdr:row>
      <xdr:rowOff>135569</xdr:rowOff>
    </xdr:to>
    <xdr:graphicFrame macro="">
      <xdr:nvGraphicFramePr>
        <xdr:cNvPr id="20" name="Chart 19">
          <a:extLst>
            <a:ext uri="{FF2B5EF4-FFF2-40B4-BE49-F238E27FC236}">
              <a16:creationId xmlns:a16="http://schemas.microsoft.com/office/drawing/2014/main" id="{7D0E3EF5-D59D-4FEB-9891-A1092AF5C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37353</xdr:colOff>
      <xdr:row>14</xdr:row>
      <xdr:rowOff>140076</xdr:rowOff>
    </xdr:from>
    <xdr:to>
      <xdr:col>1</xdr:col>
      <xdr:colOff>522942</xdr:colOff>
      <xdr:row>23</xdr:row>
      <xdr:rowOff>28017</xdr:rowOff>
    </xdr:to>
    <mc:AlternateContent xmlns:mc="http://schemas.openxmlformats.org/markup-compatibility/2006" xmlns:a14="http://schemas.microsoft.com/office/drawing/2010/main">
      <mc:Choice Requires="a14">
        <xdr:graphicFrame macro="">
          <xdr:nvGraphicFramePr>
            <xdr:cNvPr id="21" name="Room_Type 1">
              <a:extLst>
                <a:ext uri="{FF2B5EF4-FFF2-40B4-BE49-F238E27FC236}">
                  <a16:creationId xmlns:a16="http://schemas.microsoft.com/office/drawing/2014/main" id="{E07CCF5C-0101-4FB4-8E12-F2ADC69BC233}"/>
                </a:ext>
              </a:extLst>
            </xdr:cNvPr>
            <xdr:cNvGraphicFramePr/>
          </xdr:nvGraphicFramePr>
          <xdr:xfrm>
            <a:off x="0" y="0"/>
            <a:ext cx="0" cy="0"/>
          </xdr:xfrm>
          <a:graphic>
            <a:graphicData uri="http://schemas.microsoft.com/office/drawing/2010/slicer">
              <sle:slicer xmlns:sle="http://schemas.microsoft.com/office/drawing/2010/slicer" name="Room_Type 1"/>
            </a:graphicData>
          </a:graphic>
        </xdr:graphicFrame>
      </mc:Choice>
      <mc:Fallback xmlns="">
        <xdr:sp macro="" textlink="">
          <xdr:nvSpPr>
            <xdr:cNvPr id="0" name=""/>
            <xdr:cNvSpPr>
              <a:spLocks noTextEdit="1"/>
            </xdr:cNvSpPr>
          </xdr:nvSpPr>
          <xdr:spPr>
            <a:xfrm>
              <a:off x="37353" y="2680076"/>
              <a:ext cx="1094671" cy="1520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37353</xdr:colOff>
      <xdr:row>22</xdr:row>
      <xdr:rowOff>171202</xdr:rowOff>
    </xdr:from>
    <xdr:to>
      <xdr:col>1</xdr:col>
      <xdr:colOff>522942</xdr:colOff>
      <xdr:row>31</xdr:row>
      <xdr:rowOff>12453</xdr:rowOff>
    </xdr:to>
    <mc:AlternateContent xmlns:mc="http://schemas.openxmlformats.org/markup-compatibility/2006" xmlns:a14="http://schemas.microsoft.com/office/drawing/2010/main">
      <mc:Choice Requires="a14">
        <xdr:graphicFrame macro="">
          <xdr:nvGraphicFramePr>
            <xdr:cNvPr id="22" name="Customer_Type">
              <a:extLst>
                <a:ext uri="{FF2B5EF4-FFF2-40B4-BE49-F238E27FC236}">
                  <a16:creationId xmlns:a16="http://schemas.microsoft.com/office/drawing/2014/main" id="{49411089-5B7F-4C94-A5AB-9C706606CACB}"/>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7353" y="4280026"/>
              <a:ext cx="1095687" cy="1522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84046</xdr:colOff>
      <xdr:row>32</xdr:row>
      <xdr:rowOff>43579</xdr:rowOff>
    </xdr:from>
    <xdr:to>
      <xdr:col>1</xdr:col>
      <xdr:colOff>494929</xdr:colOff>
      <xdr:row>41</xdr:row>
      <xdr:rowOff>24905</xdr:rowOff>
    </xdr:to>
    <mc:AlternateContent xmlns:mc="http://schemas.openxmlformats.org/markup-compatibility/2006" xmlns:a14="http://schemas.microsoft.com/office/drawing/2010/main">
      <mc:Choice Requires="a14">
        <xdr:graphicFrame macro="">
          <xdr:nvGraphicFramePr>
            <xdr:cNvPr id="23" name="Booking_Status">
              <a:extLst>
                <a:ext uri="{FF2B5EF4-FFF2-40B4-BE49-F238E27FC236}">
                  <a16:creationId xmlns:a16="http://schemas.microsoft.com/office/drawing/2014/main" id="{8D800895-9473-4F2E-892D-31317FE15BBF}"/>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84046" y="6020050"/>
              <a:ext cx="1020981" cy="1662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65368</xdr:colOff>
      <xdr:row>11</xdr:row>
      <xdr:rowOff>130736</xdr:rowOff>
    </xdr:from>
    <xdr:to>
      <xdr:col>1</xdr:col>
      <xdr:colOff>382868</xdr:colOff>
      <xdr:row>13</xdr:row>
      <xdr:rowOff>46693</xdr:rowOff>
    </xdr:to>
    <xdr:sp macro="" textlink="">
      <xdr:nvSpPr>
        <xdr:cNvPr id="27" name="Rectangle: Rounded Corners 26">
          <a:hlinkClick xmlns:r="http://schemas.openxmlformats.org/officeDocument/2006/relationships" r:id="rId10"/>
          <a:extLst>
            <a:ext uri="{FF2B5EF4-FFF2-40B4-BE49-F238E27FC236}">
              <a16:creationId xmlns:a16="http://schemas.microsoft.com/office/drawing/2014/main" id="{A6BC4214-2095-4A51-824C-ADB3D6762A0B}"/>
            </a:ext>
          </a:extLst>
        </xdr:cNvPr>
        <xdr:cNvSpPr/>
      </xdr:nvSpPr>
      <xdr:spPr>
        <a:xfrm>
          <a:off x="65368" y="1998383"/>
          <a:ext cx="924485" cy="28948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OVERVIEW</a:t>
          </a:r>
        </a:p>
      </xdr:txBody>
    </xdr:sp>
    <xdr:clientData/>
  </xdr:twoCellAnchor>
  <xdr:oneCellAnchor>
    <xdr:from>
      <xdr:col>10</xdr:col>
      <xdr:colOff>336177</xdr:colOff>
      <xdr:row>36</xdr:row>
      <xdr:rowOff>9337</xdr:rowOff>
    </xdr:from>
    <xdr:ext cx="1419412" cy="354853"/>
    <xdr:sp macro="" textlink="">
      <xdr:nvSpPr>
        <xdr:cNvPr id="28" name="TextBox 27">
          <a:extLst>
            <a:ext uri="{FF2B5EF4-FFF2-40B4-BE49-F238E27FC236}">
              <a16:creationId xmlns:a16="http://schemas.microsoft.com/office/drawing/2014/main" id="{C129ADB4-5201-40E2-BDA3-41B148B8BAC4}"/>
            </a:ext>
          </a:extLst>
        </xdr:cNvPr>
        <xdr:cNvSpPr txBox="1"/>
      </xdr:nvSpPr>
      <xdr:spPr>
        <a:xfrm>
          <a:off x="6406030" y="6546102"/>
          <a:ext cx="1419412" cy="354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a:solidFill>
                <a:schemeClr val="bg1"/>
              </a:solidFill>
            </a:rPr>
            <a:t>NOTES</a:t>
          </a:r>
        </a:p>
      </xdr:txBody>
    </xdr:sp>
    <xdr:clientData/>
  </xdr:oneCellAnchor>
  <xdr:oneCellAnchor>
    <xdr:from>
      <xdr:col>8</xdr:col>
      <xdr:colOff>156575</xdr:colOff>
      <xdr:row>8</xdr:row>
      <xdr:rowOff>26096</xdr:rowOff>
    </xdr:from>
    <xdr:ext cx="399148" cy="264560"/>
    <xdr:sp macro="" textlink="">
      <xdr:nvSpPr>
        <xdr:cNvPr id="29" name="TextBox 28">
          <a:extLst>
            <a:ext uri="{FF2B5EF4-FFF2-40B4-BE49-F238E27FC236}">
              <a16:creationId xmlns:a16="http://schemas.microsoft.com/office/drawing/2014/main" id="{512AEF7C-ADB2-4E11-9A74-2118E8EB05BD}"/>
            </a:ext>
          </a:extLst>
        </xdr:cNvPr>
        <xdr:cNvSpPr txBox="1"/>
      </xdr:nvSpPr>
      <xdr:spPr>
        <a:xfrm>
          <a:off x="5027808" y="1304795"/>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effectLst/>
              <a:latin typeface="+mn-lt"/>
              <a:ea typeface="+mn-ea"/>
              <a:cs typeface="+mn-cs"/>
            </a:rPr>
            <a:t>158</a:t>
          </a:r>
          <a:endParaRPr lang="en-US" sz="1100">
            <a:solidFill>
              <a:schemeClr val="bg1"/>
            </a:solidFill>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99458</xdr:colOff>
      <xdr:row>0</xdr:row>
      <xdr:rowOff>80782</xdr:rowOff>
    </xdr:from>
    <xdr:ext cx="6380602" cy="726289"/>
    <xdr:sp macro="" textlink="">
      <xdr:nvSpPr>
        <xdr:cNvPr id="2" name="TextBox 1">
          <a:extLst>
            <a:ext uri="{FF2B5EF4-FFF2-40B4-BE49-F238E27FC236}">
              <a16:creationId xmlns:a16="http://schemas.microsoft.com/office/drawing/2014/main" id="{65DF57E2-F807-4F21-86E9-CFEA3E146198}"/>
            </a:ext>
          </a:extLst>
        </xdr:cNvPr>
        <xdr:cNvSpPr txBox="1"/>
      </xdr:nvSpPr>
      <xdr:spPr>
        <a:xfrm>
          <a:off x="1318658" y="80782"/>
          <a:ext cx="6380602" cy="726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solidFill>
                <a:schemeClr val="accent4">
                  <a:lumMod val="75000"/>
                </a:schemeClr>
              </a:solidFill>
            </a:rPr>
            <a:t> </a:t>
          </a:r>
          <a:r>
            <a:rPr lang="en-US" sz="2400" b="1">
              <a:solidFill>
                <a:schemeClr val="accent4">
                  <a:lumMod val="75000"/>
                </a:schemeClr>
              </a:solidFill>
              <a:effectLst/>
              <a:latin typeface="+mn-lt"/>
              <a:ea typeface="+mn-ea"/>
              <a:cs typeface="+mn-cs"/>
            </a:rPr>
            <a:t>🏨</a:t>
          </a:r>
          <a:r>
            <a:rPr lang="en-US" sz="2000" b="1">
              <a:solidFill>
                <a:schemeClr val="accent4">
                  <a:lumMod val="75000"/>
                </a:schemeClr>
              </a:solidFill>
              <a:effectLst/>
              <a:latin typeface="+mn-lt"/>
              <a:ea typeface="+mn-ea"/>
              <a:cs typeface="+mn-cs"/>
            </a:rPr>
            <a:t> </a:t>
          </a:r>
          <a:r>
            <a:rPr lang="en-US" sz="2400" b="1">
              <a:solidFill>
                <a:schemeClr val="accent4">
                  <a:lumMod val="75000"/>
                </a:schemeClr>
              </a:solidFill>
            </a:rPr>
            <a:t>HOTEL BOOKING ANALYSIS DASHBOARD</a:t>
          </a:r>
          <a:r>
            <a:rPr lang="en-US" sz="2400" b="1" baseline="0">
              <a:solidFill>
                <a:schemeClr val="accent4">
                  <a:lumMod val="75000"/>
                </a:schemeClr>
              </a:solidFill>
            </a:rPr>
            <a:t>:2</a:t>
          </a:r>
        </a:p>
        <a:p>
          <a:r>
            <a:rPr lang="en-US" sz="1400" b="1">
              <a:solidFill>
                <a:schemeClr val="bg1"/>
              </a:solidFill>
              <a:latin typeface="+mn-lt"/>
            </a:rPr>
            <a:t>                                          BOOKING ANLYSIS</a:t>
          </a:r>
        </a:p>
      </xdr:txBody>
    </xdr:sp>
    <xdr:clientData/>
  </xdr:oneCellAnchor>
  <xdr:twoCellAnchor>
    <xdr:from>
      <xdr:col>4</xdr:col>
      <xdr:colOff>192182</xdr:colOff>
      <xdr:row>5</xdr:row>
      <xdr:rowOff>26854</xdr:rowOff>
    </xdr:from>
    <xdr:to>
      <xdr:col>7</xdr:col>
      <xdr:colOff>57149</xdr:colOff>
      <xdr:row>9</xdr:row>
      <xdr:rowOff>152400</xdr:rowOff>
    </xdr:to>
    <xdr:sp macro="" textlink="">
      <xdr:nvSpPr>
        <xdr:cNvPr id="3" name="Rectangle: Rounded Corners 2">
          <a:extLst>
            <a:ext uri="{FF2B5EF4-FFF2-40B4-BE49-F238E27FC236}">
              <a16:creationId xmlns:a16="http://schemas.microsoft.com/office/drawing/2014/main" id="{680621D6-37BF-460A-8C89-46A4C1950311}"/>
            </a:ext>
          </a:extLst>
        </xdr:cNvPr>
        <xdr:cNvSpPr/>
      </xdr:nvSpPr>
      <xdr:spPr>
        <a:xfrm>
          <a:off x="2630582" y="763454"/>
          <a:ext cx="1693767" cy="862146"/>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No Show booking</a:t>
          </a:r>
          <a:endParaRPr lang="en-US">
            <a:solidFill>
              <a:schemeClr val="bg1"/>
            </a:solidFill>
            <a:effectLst/>
          </a:endParaRPr>
        </a:p>
        <a:p>
          <a:pPr rtl="0"/>
          <a:r>
            <a:rPr lang="en-US" sz="1100" b="0" i="0" baseline="0">
              <a:solidFill>
                <a:schemeClr val="accent1"/>
              </a:solidFill>
              <a:effectLst/>
              <a:latin typeface="+mn-lt"/>
              <a:ea typeface="+mn-ea"/>
              <a:cs typeface="+mn-cs"/>
            </a:rPr>
            <a:t>                  </a:t>
          </a:r>
          <a:r>
            <a:rPr lang="en-US" sz="1100">
              <a:solidFill>
                <a:srgbClr val="FF0000"/>
              </a:solidFill>
              <a:effectLst/>
              <a:latin typeface="+mn-lt"/>
              <a:ea typeface="+mn-ea"/>
              <a:cs typeface="+mn-cs"/>
            </a:rPr>
            <a:t>❌</a:t>
          </a:r>
          <a:endParaRPr lang="en-US" sz="1100" b="0" i="0" baseline="0">
            <a:solidFill>
              <a:srgbClr val="FF0000"/>
            </a:solidFill>
            <a:effectLst/>
            <a:latin typeface="+mn-lt"/>
            <a:ea typeface="+mn-ea"/>
            <a:cs typeface="+mn-cs"/>
          </a:endParaRPr>
        </a:p>
        <a:p>
          <a:pPr rtl="0"/>
          <a:endParaRPr lang="en-US" sz="1100">
            <a:solidFill>
              <a:schemeClr val="accent1"/>
            </a:solidFill>
          </a:endParaRPr>
        </a:p>
      </xdr:txBody>
    </xdr:sp>
    <xdr:clientData/>
  </xdr:twoCellAnchor>
  <xdr:twoCellAnchor>
    <xdr:from>
      <xdr:col>0</xdr:col>
      <xdr:colOff>313368</xdr:colOff>
      <xdr:row>5</xdr:row>
      <xdr:rowOff>35804</xdr:rowOff>
    </xdr:from>
    <xdr:to>
      <xdr:col>3</xdr:col>
      <xdr:colOff>266700</xdr:colOff>
      <xdr:row>9</xdr:row>
      <xdr:rowOff>139700</xdr:rowOff>
    </xdr:to>
    <xdr:sp macro="" textlink="">
      <xdr:nvSpPr>
        <xdr:cNvPr id="4" name="Rectangle: Rounded Corners 3">
          <a:extLst>
            <a:ext uri="{FF2B5EF4-FFF2-40B4-BE49-F238E27FC236}">
              <a16:creationId xmlns:a16="http://schemas.microsoft.com/office/drawing/2014/main" id="{69764EF8-7D15-4BE4-BEFD-5520227206C6}"/>
            </a:ext>
          </a:extLst>
        </xdr:cNvPr>
        <xdr:cNvSpPr/>
      </xdr:nvSpPr>
      <xdr:spPr>
        <a:xfrm>
          <a:off x="313368" y="772404"/>
          <a:ext cx="1782132" cy="840496"/>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1"/>
            <a:t>    Confirmed Bookings  </a:t>
          </a:r>
        </a:p>
        <a:p>
          <a:pPr rtl="0"/>
          <a:r>
            <a:rPr lang="en-US" sz="1400"/>
            <a:t>             </a:t>
          </a:r>
          <a:r>
            <a:rPr lang="en-US" sz="1400">
              <a:solidFill>
                <a:srgbClr val="00B050"/>
              </a:solidFill>
            </a:rPr>
            <a:t>☑</a:t>
          </a:r>
        </a:p>
        <a:p>
          <a:pPr rtl="0"/>
          <a:r>
            <a:rPr lang="en-US" sz="1400"/>
            <a:t>             58</a:t>
          </a:r>
          <a:r>
            <a:rPr lang="en-US" sz="1200" b="0" i="0" baseline="0">
              <a:solidFill>
                <a:schemeClr val="tx1"/>
              </a:solidFill>
              <a:effectLst/>
              <a:latin typeface="+mn-lt"/>
              <a:ea typeface="+mn-ea"/>
              <a:cs typeface="+mn-cs"/>
            </a:rPr>
            <a:t>      </a:t>
          </a:r>
          <a:endParaRPr lang="en-US" sz="1200">
            <a:solidFill>
              <a:schemeClr val="tx1"/>
            </a:solidFill>
            <a:effectLst/>
          </a:endParaRPr>
        </a:p>
      </xdr:txBody>
    </xdr:sp>
    <xdr:clientData/>
  </xdr:twoCellAnchor>
  <xdr:twoCellAnchor>
    <xdr:from>
      <xdr:col>7</xdr:col>
      <xdr:colOff>419328</xdr:colOff>
      <xdr:row>5</xdr:row>
      <xdr:rowOff>14153</xdr:rowOff>
    </xdr:from>
    <xdr:to>
      <xdr:col>10</xdr:col>
      <xdr:colOff>387350</xdr:colOff>
      <xdr:row>10</xdr:row>
      <xdr:rowOff>0</xdr:rowOff>
    </xdr:to>
    <xdr:sp macro="" textlink="">
      <xdr:nvSpPr>
        <xdr:cNvPr id="7" name="Rectangle: Rounded Corners 6">
          <a:extLst>
            <a:ext uri="{FF2B5EF4-FFF2-40B4-BE49-F238E27FC236}">
              <a16:creationId xmlns:a16="http://schemas.microsoft.com/office/drawing/2014/main" id="{D4E037CC-FB82-4FA8-8C11-9F2C84FE4AD3}"/>
            </a:ext>
          </a:extLst>
        </xdr:cNvPr>
        <xdr:cNvSpPr/>
      </xdr:nvSpPr>
      <xdr:spPr>
        <a:xfrm>
          <a:off x="4686528" y="750753"/>
          <a:ext cx="1796822" cy="906597"/>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bg1"/>
              </a:solidFill>
              <a:effectLst/>
              <a:latin typeface="+mn-lt"/>
              <a:ea typeface="+mn-ea"/>
              <a:cs typeface="+mn-cs"/>
            </a:rPr>
            <a:t>     </a:t>
          </a:r>
          <a:r>
            <a:rPr lang="en-US"/>
            <a:t>Revenue from</a:t>
          </a:r>
        </a:p>
        <a:p>
          <a:pPr rtl="0"/>
          <a:r>
            <a:rPr lang="en-US"/>
            <a:t>        Completed   </a:t>
          </a:r>
          <a:r>
            <a:rPr lang="en-US" b="1">
              <a:solidFill>
                <a:schemeClr val="bg1"/>
              </a:solidFill>
            </a:rPr>
            <a:t>  </a:t>
          </a:r>
        </a:p>
        <a:p>
          <a:pPr rtl="0"/>
          <a:r>
            <a:rPr lang="en-US" sz="1100">
              <a:solidFill>
                <a:schemeClr val="bg1"/>
              </a:solidFill>
              <a:effectLst/>
              <a:latin typeface="+mn-lt"/>
              <a:ea typeface="+mn-ea"/>
              <a:cs typeface="+mn-cs"/>
            </a:rPr>
            <a:t>             </a:t>
          </a:r>
          <a:br>
            <a:rPr lang="en-US">
              <a:solidFill>
                <a:schemeClr val="bg1"/>
              </a:solidFill>
            </a:rPr>
          </a:br>
          <a:r>
            <a:rPr lang="en-US">
              <a:solidFill>
                <a:schemeClr val="bg1"/>
              </a:solidFill>
            </a:rPr>
            <a:t>          </a:t>
          </a:r>
          <a:r>
            <a:rPr lang="en-US" sz="1100">
              <a:solidFill>
                <a:schemeClr val="lt1"/>
              </a:solidFill>
              <a:effectLst/>
              <a:latin typeface="+mn-lt"/>
              <a:ea typeface="+mn-ea"/>
              <a:cs typeface="+mn-cs"/>
            </a:rPr>
            <a:t>11,872.07</a:t>
          </a:r>
          <a:endParaRPr lang="en-US" sz="1100">
            <a:solidFill>
              <a:schemeClr val="bg1"/>
            </a:solidFill>
          </a:endParaRPr>
        </a:p>
      </xdr:txBody>
    </xdr:sp>
    <xdr:clientData/>
  </xdr:twoCellAnchor>
  <xdr:twoCellAnchor>
    <xdr:from>
      <xdr:col>11</xdr:col>
      <xdr:colOff>584046</xdr:colOff>
      <xdr:row>5</xdr:row>
      <xdr:rowOff>20502</xdr:rowOff>
    </xdr:from>
    <xdr:to>
      <xdr:col>14</xdr:col>
      <xdr:colOff>450850</xdr:colOff>
      <xdr:row>9</xdr:row>
      <xdr:rowOff>152400</xdr:rowOff>
    </xdr:to>
    <xdr:sp macro="" textlink="">
      <xdr:nvSpPr>
        <xdr:cNvPr id="8" name="Rectangle: Rounded Corners 7">
          <a:extLst>
            <a:ext uri="{FF2B5EF4-FFF2-40B4-BE49-F238E27FC236}">
              <a16:creationId xmlns:a16="http://schemas.microsoft.com/office/drawing/2014/main" id="{7F05EA2B-318F-48FA-AE46-EC89CC21AF52}"/>
            </a:ext>
          </a:extLst>
        </xdr:cNvPr>
        <xdr:cNvSpPr/>
      </xdr:nvSpPr>
      <xdr:spPr>
        <a:xfrm>
          <a:off x="7289646" y="757102"/>
          <a:ext cx="1695604" cy="868498"/>
        </a:xfrm>
        <a:prstGeom prst="roundRect">
          <a:avLst/>
        </a:prstGeom>
        <a:solidFill>
          <a:srgbClr val="0B234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a:t>Avg Completed Room</a:t>
          </a:r>
        </a:p>
        <a:p>
          <a:pPr rtl="0"/>
          <a:r>
            <a:rPr lang="en-US"/>
            <a:t>               Rate</a:t>
          </a:r>
        </a:p>
        <a:p>
          <a:pPr rtl="0"/>
          <a:r>
            <a:rPr lang="en-US"/>
            <a:t>               </a:t>
          </a:r>
          <a:br>
            <a:rPr lang="en-US"/>
          </a:br>
          <a:r>
            <a:rPr lang="en-US"/>
            <a:t>              75.14</a:t>
          </a:r>
          <a:r>
            <a:rPr lang="en-US" sz="1100" b="0" i="0" baseline="0">
              <a:solidFill>
                <a:schemeClr val="accent1"/>
              </a:solidFill>
              <a:effectLst/>
              <a:latin typeface="+mn-lt"/>
              <a:ea typeface="+mn-ea"/>
              <a:cs typeface="+mn-cs"/>
            </a:rPr>
            <a:t>      </a:t>
          </a:r>
          <a:endParaRPr lang="en-US">
            <a:solidFill>
              <a:schemeClr val="accent1"/>
            </a:solidFill>
            <a:effectLst/>
          </a:endParaRPr>
        </a:p>
        <a:p>
          <a:pPr algn="l"/>
          <a:r>
            <a:rPr lang="en-US" sz="1100">
              <a:solidFill>
                <a:schemeClr val="accent1"/>
              </a:solidFill>
            </a:rPr>
            <a:t>  </a:t>
          </a:r>
        </a:p>
      </xdr:txBody>
    </xdr:sp>
    <xdr:clientData/>
  </xdr:twoCellAnchor>
  <xdr:oneCellAnchor>
    <xdr:from>
      <xdr:col>4</xdr:col>
      <xdr:colOff>603250</xdr:colOff>
      <xdr:row>7</xdr:row>
      <xdr:rowOff>107950</xdr:rowOff>
    </xdr:from>
    <xdr:ext cx="584327" cy="280205"/>
    <xdr:sp macro="" textlink="">
      <xdr:nvSpPr>
        <xdr:cNvPr id="9" name="TextBox 8">
          <a:extLst>
            <a:ext uri="{FF2B5EF4-FFF2-40B4-BE49-F238E27FC236}">
              <a16:creationId xmlns:a16="http://schemas.microsoft.com/office/drawing/2014/main" id="{683707A2-727A-49E4-B35B-9EE5F2B92634}"/>
            </a:ext>
          </a:extLst>
        </xdr:cNvPr>
        <xdr:cNvSpPr txBox="1"/>
      </xdr:nvSpPr>
      <xdr:spPr>
        <a:xfrm>
          <a:off x="3041650" y="1212850"/>
          <a:ext cx="58432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bg1"/>
              </a:solidFill>
            </a:rPr>
            <a:t>       21</a:t>
          </a:r>
        </a:p>
      </xdr:txBody>
    </xdr:sp>
    <xdr:clientData/>
  </xdr:oneCellAnchor>
  <xdr:twoCellAnchor editAs="oneCell">
    <xdr:from>
      <xdr:col>8</xdr:col>
      <xdr:colOff>412750</xdr:colOff>
      <xdr:row>7</xdr:row>
      <xdr:rowOff>76200</xdr:rowOff>
    </xdr:from>
    <xdr:to>
      <xdr:col>9</xdr:col>
      <xdr:colOff>6350</xdr:colOff>
      <xdr:row>8</xdr:row>
      <xdr:rowOff>95250</xdr:rowOff>
    </xdr:to>
    <xdr:pic>
      <xdr:nvPicPr>
        <xdr:cNvPr id="12" name="Graphic 11" descr="Dollar">
          <a:extLst>
            <a:ext uri="{FF2B5EF4-FFF2-40B4-BE49-F238E27FC236}">
              <a16:creationId xmlns:a16="http://schemas.microsoft.com/office/drawing/2014/main" id="{E505556E-CABC-46B7-9D30-7FBB7297C5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289550" y="1181100"/>
          <a:ext cx="203200" cy="203200"/>
        </a:xfrm>
        <a:prstGeom prst="rect">
          <a:avLst/>
        </a:prstGeom>
      </xdr:spPr>
    </xdr:pic>
    <xdr:clientData/>
  </xdr:twoCellAnchor>
  <xdr:twoCellAnchor editAs="oneCell">
    <xdr:from>
      <xdr:col>12</xdr:col>
      <xdr:colOff>590550</xdr:colOff>
      <xdr:row>7</xdr:row>
      <xdr:rowOff>63500</xdr:rowOff>
    </xdr:from>
    <xdr:to>
      <xdr:col>13</xdr:col>
      <xdr:colOff>184150</xdr:colOff>
      <xdr:row>8</xdr:row>
      <xdr:rowOff>82550</xdr:rowOff>
    </xdr:to>
    <xdr:pic>
      <xdr:nvPicPr>
        <xdr:cNvPr id="14" name="Graphic 13" descr="Bar graph with upward trend">
          <a:extLst>
            <a:ext uri="{FF2B5EF4-FFF2-40B4-BE49-F238E27FC236}">
              <a16:creationId xmlns:a16="http://schemas.microsoft.com/office/drawing/2014/main" id="{7ADAE4A6-FB3B-4D6B-98C0-C55A8F5533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905750" y="1168400"/>
          <a:ext cx="203200" cy="203200"/>
        </a:xfrm>
        <a:prstGeom prst="rect">
          <a:avLst/>
        </a:prstGeom>
      </xdr:spPr>
    </xdr:pic>
    <xdr:clientData/>
  </xdr:twoCellAnchor>
  <xdr:twoCellAnchor editAs="oneCell">
    <xdr:from>
      <xdr:col>0</xdr:col>
      <xdr:colOff>0</xdr:colOff>
      <xdr:row>11</xdr:row>
      <xdr:rowOff>177801</xdr:rowOff>
    </xdr:from>
    <xdr:to>
      <xdr:col>1</xdr:col>
      <xdr:colOff>533400</xdr:colOff>
      <xdr:row>21</xdr:row>
      <xdr:rowOff>82551</xdr:rowOff>
    </xdr:to>
    <mc:AlternateContent xmlns:mc="http://schemas.openxmlformats.org/markup-compatibility/2006" xmlns:a14="http://schemas.microsoft.com/office/drawing/2010/main">
      <mc:Choice Requires="a14">
        <xdr:graphicFrame macro="">
          <xdr:nvGraphicFramePr>
            <xdr:cNvPr id="15" name="Booking_Status 1">
              <a:extLst>
                <a:ext uri="{FF2B5EF4-FFF2-40B4-BE49-F238E27FC236}">
                  <a16:creationId xmlns:a16="http://schemas.microsoft.com/office/drawing/2014/main" id="{20997A56-07AF-45FB-9D52-AA7CD7CEB1D1}"/>
                </a:ext>
              </a:extLst>
            </xdr:cNvPr>
            <xdr:cNvGraphicFramePr/>
          </xdr:nvGraphicFramePr>
          <xdr:xfrm>
            <a:off x="0" y="0"/>
            <a:ext cx="0" cy="0"/>
          </xdr:xfrm>
          <a:graphic>
            <a:graphicData uri="http://schemas.microsoft.com/office/drawing/2010/slicer">
              <sle:slicer xmlns:sle="http://schemas.microsoft.com/office/drawing/2010/slicer" name="Booking_Status 1"/>
            </a:graphicData>
          </a:graphic>
        </xdr:graphicFrame>
      </mc:Choice>
      <mc:Fallback xmlns="">
        <xdr:sp macro="" textlink="">
          <xdr:nvSpPr>
            <xdr:cNvPr id="0" name=""/>
            <xdr:cNvSpPr>
              <a:spLocks noTextEdit="1"/>
            </xdr:cNvSpPr>
          </xdr:nvSpPr>
          <xdr:spPr>
            <a:xfrm>
              <a:off x="0" y="2247431"/>
              <a:ext cx="1144881" cy="1786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9071</xdr:colOff>
      <xdr:row>22</xdr:row>
      <xdr:rowOff>129722</xdr:rowOff>
    </xdr:from>
    <xdr:to>
      <xdr:col>1</xdr:col>
      <xdr:colOff>542471</xdr:colOff>
      <xdr:row>30</xdr:row>
      <xdr:rowOff>40824</xdr:rowOff>
    </xdr:to>
    <mc:AlternateContent xmlns:mc="http://schemas.openxmlformats.org/markup-compatibility/2006" xmlns:a14="http://schemas.microsoft.com/office/drawing/2010/main">
      <mc:Choice Requires="a14">
        <xdr:graphicFrame macro="">
          <xdr:nvGraphicFramePr>
            <xdr:cNvPr id="16" name="Customer_Type 1">
              <a:extLst>
                <a:ext uri="{FF2B5EF4-FFF2-40B4-BE49-F238E27FC236}">
                  <a16:creationId xmlns:a16="http://schemas.microsoft.com/office/drawing/2014/main" id="{D17721FE-3FED-40B4-8C7A-D5EB335B406E}"/>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9071" y="4121151"/>
              <a:ext cx="1141186" cy="1362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50801</xdr:rowOff>
    </xdr:from>
    <xdr:to>
      <xdr:col>1</xdr:col>
      <xdr:colOff>514350</xdr:colOff>
      <xdr:row>40</xdr:row>
      <xdr:rowOff>101599</xdr:rowOff>
    </xdr:to>
    <mc:AlternateContent xmlns:mc="http://schemas.openxmlformats.org/markup-compatibility/2006" xmlns:a14="http://schemas.microsoft.com/office/drawing/2010/main">
      <mc:Choice Requires="a14">
        <xdr:graphicFrame macro="">
          <xdr:nvGraphicFramePr>
            <xdr:cNvPr id="17" name="Room_Type">
              <a:extLst>
                <a:ext uri="{FF2B5EF4-FFF2-40B4-BE49-F238E27FC236}">
                  <a16:creationId xmlns:a16="http://schemas.microsoft.com/office/drawing/2014/main" id="{C71D0B93-3627-4EAE-A5E5-8E7B968CD4F6}"/>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0" y="5883394"/>
              <a:ext cx="1125831" cy="1744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184150</xdr:colOff>
      <xdr:row>11</xdr:row>
      <xdr:rowOff>95250</xdr:rowOff>
    </xdr:from>
    <xdr:to>
      <xdr:col>8</xdr:col>
      <xdr:colOff>254000</xdr:colOff>
      <xdr:row>24</xdr:row>
      <xdr:rowOff>57150</xdr:rowOff>
    </xdr:to>
    <xdr:graphicFrame macro="">
      <xdr:nvGraphicFramePr>
        <xdr:cNvPr id="18" name="Chart 17">
          <a:extLst>
            <a:ext uri="{FF2B5EF4-FFF2-40B4-BE49-F238E27FC236}">
              <a16:creationId xmlns:a16="http://schemas.microsoft.com/office/drawing/2014/main" id="{2D0E4145-3D8E-4446-A46C-B65363AA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384136</xdr:colOff>
      <xdr:row>11</xdr:row>
      <xdr:rowOff>63500</xdr:rowOff>
    </xdr:from>
    <xdr:to>
      <xdr:col>14</xdr:col>
      <xdr:colOff>444500</xdr:colOff>
      <xdr:row>24</xdr:row>
      <xdr:rowOff>54877</xdr:rowOff>
    </xdr:to>
    <xdr:graphicFrame macro="">
      <xdr:nvGraphicFramePr>
        <xdr:cNvPr id="19" name="Chart 18">
          <a:extLst>
            <a:ext uri="{FF2B5EF4-FFF2-40B4-BE49-F238E27FC236}">
              <a16:creationId xmlns:a16="http://schemas.microsoft.com/office/drawing/2014/main" id="{418960DF-D6B3-4132-A32C-246823F8A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188148</xdr:colOff>
      <xdr:row>24</xdr:row>
      <xdr:rowOff>156790</xdr:rowOff>
    </xdr:from>
    <xdr:to>
      <xdr:col>8</xdr:col>
      <xdr:colOff>94074</xdr:colOff>
      <xdr:row>35</xdr:row>
      <xdr:rowOff>132152</xdr:rowOff>
    </xdr:to>
    <xdr:graphicFrame macro="">
      <xdr:nvGraphicFramePr>
        <xdr:cNvPr id="20" name="Chart 19">
          <a:extLst>
            <a:ext uri="{FF2B5EF4-FFF2-40B4-BE49-F238E27FC236}">
              <a16:creationId xmlns:a16="http://schemas.microsoft.com/office/drawing/2014/main" id="{DFB66C6B-7183-45CC-ABE7-9785293DC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360617</xdr:colOff>
      <xdr:row>25</xdr:row>
      <xdr:rowOff>15678</xdr:rowOff>
    </xdr:from>
    <xdr:to>
      <xdr:col>14</xdr:col>
      <xdr:colOff>521887</xdr:colOff>
      <xdr:row>35</xdr:row>
      <xdr:rowOff>167988</xdr:rowOff>
    </xdr:to>
    <xdr:graphicFrame macro="">
      <xdr:nvGraphicFramePr>
        <xdr:cNvPr id="21" name="Chart 20">
          <a:extLst>
            <a:ext uri="{FF2B5EF4-FFF2-40B4-BE49-F238E27FC236}">
              <a16:creationId xmlns:a16="http://schemas.microsoft.com/office/drawing/2014/main" id="{BED188AB-1493-453C-A8BA-7A73C5356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195988</xdr:colOff>
      <xdr:row>36</xdr:row>
      <xdr:rowOff>15678</xdr:rowOff>
    </xdr:from>
    <xdr:to>
      <xdr:col>8</xdr:col>
      <xdr:colOff>140552</xdr:colOff>
      <xdr:row>47</xdr:row>
      <xdr:rowOff>138870</xdr:rowOff>
    </xdr:to>
    <xdr:graphicFrame macro="">
      <xdr:nvGraphicFramePr>
        <xdr:cNvPr id="22" name="Chart 21">
          <a:extLst>
            <a:ext uri="{FF2B5EF4-FFF2-40B4-BE49-F238E27FC236}">
              <a16:creationId xmlns:a16="http://schemas.microsoft.com/office/drawing/2014/main" id="{6E398936-951A-4411-9E19-427F591BB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10</xdr:col>
      <xdr:colOff>180309</xdr:colOff>
      <xdr:row>38</xdr:row>
      <xdr:rowOff>7840</xdr:rowOff>
    </xdr:from>
    <xdr:ext cx="1442469" cy="342786"/>
    <xdr:sp macro="" textlink="">
      <xdr:nvSpPr>
        <xdr:cNvPr id="23" name="TextBox 22">
          <a:extLst>
            <a:ext uri="{FF2B5EF4-FFF2-40B4-BE49-F238E27FC236}">
              <a16:creationId xmlns:a16="http://schemas.microsoft.com/office/drawing/2014/main" id="{49B10699-09AF-463C-B173-176B6B0830F0}"/>
            </a:ext>
          </a:extLst>
        </xdr:cNvPr>
        <xdr:cNvSpPr txBox="1"/>
      </xdr:nvSpPr>
      <xdr:spPr>
        <a:xfrm>
          <a:off x="6295124" y="6859568"/>
          <a:ext cx="14424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rPr>
            <a:t>NOTES</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373518</xdr:colOff>
      <xdr:row>13</xdr:row>
      <xdr:rowOff>151584</xdr:rowOff>
    </xdr:from>
    <xdr:to>
      <xdr:col>3</xdr:col>
      <xdr:colOff>362231</xdr:colOff>
      <xdr:row>18</xdr:row>
      <xdr:rowOff>13657</xdr:rowOff>
    </xdr:to>
    <xdr:pic>
      <xdr:nvPicPr>
        <xdr:cNvPr id="2" name="Picture 1" descr="Goal Icon Vector Element">
          <a:extLst>
            <a:ext uri="{FF2B5EF4-FFF2-40B4-BE49-F238E27FC236}">
              <a16:creationId xmlns:a16="http://schemas.microsoft.com/office/drawing/2014/main" id="{866B08F6-B15F-4E5F-ADB6-F5F769F86B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82281" y="3340240"/>
          <a:ext cx="1204090" cy="1091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xdr:row>
      <xdr:rowOff>0</xdr:rowOff>
    </xdr:from>
    <xdr:to>
      <xdr:col>3</xdr:col>
      <xdr:colOff>304800</xdr:colOff>
      <xdr:row>7</xdr:row>
      <xdr:rowOff>69852</xdr:rowOff>
    </xdr:to>
    <xdr:sp macro="" textlink="">
      <xdr:nvSpPr>
        <xdr:cNvPr id="3" name="AutoShape 2" descr="Generated image: Classic Hotel Badge with Trees">
          <a:extLst>
            <a:ext uri="{FF2B5EF4-FFF2-40B4-BE49-F238E27FC236}">
              <a16:creationId xmlns:a16="http://schemas.microsoft.com/office/drawing/2014/main" id="{1E59A939-07AA-451E-8BD8-F51015C2FCD7}"/>
            </a:ext>
          </a:extLst>
        </xdr:cNvPr>
        <xdr:cNvSpPr>
          <a:spLocks noChangeAspect="1" noChangeArrowheads="1"/>
        </xdr:cNvSpPr>
      </xdr:nvSpPr>
      <xdr:spPr bwMode="auto">
        <a:xfrm>
          <a:off x="8439150" y="12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304800</xdr:colOff>
      <xdr:row>7</xdr:row>
      <xdr:rowOff>69852</xdr:rowOff>
    </xdr:to>
    <xdr:sp macro="" textlink="">
      <xdr:nvSpPr>
        <xdr:cNvPr id="4" name="AutoShape 3" descr="Generated image: Classic Hotel Badge with Trees">
          <a:extLst>
            <a:ext uri="{FF2B5EF4-FFF2-40B4-BE49-F238E27FC236}">
              <a16:creationId xmlns:a16="http://schemas.microsoft.com/office/drawing/2014/main" id="{3A0A90B5-0ECB-4CAF-A186-D62C6BFEFF98}"/>
            </a:ext>
          </a:extLst>
        </xdr:cNvPr>
        <xdr:cNvSpPr>
          <a:spLocks noChangeAspect="1" noChangeArrowheads="1"/>
        </xdr:cNvSpPr>
      </xdr:nvSpPr>
      <xdr:spPr bwMode="auto">
        <a:xfrm>
          <a:off x="8439150" y="12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xdr:row>
      <xdr:rowOff>0</xdr:rowOff>
    </xdr:from>
    <xdr:to>
      <xdr:col>4</xdr:col>
      <xdr:colOff>304800</xdr:colOff>
      <xdr:row>7</xdr:row>
      <xdr:rowOff>69852</xdr:rowOff>
    </xdr:to>
    <xdr:sp macro="" textlink="">
      <xdr:nvSpPr>
        <xdr:cNvPr id="5" name="AutoShape 4" descr="Generated image: Classic Hotel Badge with Trees">
          <a:extLst>
            <a:ext uri="{FF2B5EF4-FFF2-40B4-BE49-F238E27FC236}">
              <a16:creationId xmlns:a16="http://schemas.microsoft.com/office/drawing/2014/main" id="{83C25E9C-BBC3-4B9A-BA12-5B41734A3BE9}"/>
            </a:ext>
          </a:extLst>
        </xdr:cNvPr>
        <xdr:cNvSpPr>
          <a:spLocks noChangeAspect="1" noChangeArrowheads="1"/>
        </xdr:cNvSpPr>
      </xdr:nvSpPr>
      <xdr:spPr bwMode="auto">
        <a:xfrm>
          <a:off x="9099550" y="12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9</xdr:row>
      <xdr:rowOff>0</xdr:rowOff>
    </xdr:from>
    <xdr:to>
      <xdr:col>11</xdr:col>
      <xdr:colOff>304800</xdr:colOff>
      <xdr:row>10</xdr:row>
      <xdr:rowOff>69848</xdr:rowOff>
    </xdr:to>
    <xdr:sp macro="" textlink="">
      <xdr:nvSpPr>
        <xdr:cNvPr id="6" name="AutoShape 5" descr="Generated image: Classic Hotel Badge with Trees">
          <a:extLst>
            <a:ext uri="{FF2B5EF4-FFF2-40B4-BE49-F238E27FC236}">
              <a16:creationId xmlns:a16="http://schemas.microsoft.com/office/drawing/2014/main" id="{FBB26218-F1F8-418D-9572-5BCCCB07D1B3}"/>
            </a:ext>
          </a:extLst>
        </xdr:cNvPr>
        <xdr:cNvSpPr>
          <a:spLocks noChangeAspect="1" noChangeArrowheads="1"/>
        </xdr:cNvSpPr>
      </xdr:nvSpPr>
      <xdr:spPr bwMode="auto">
        <a:xfrm>
          <a:off x="13722350" y="242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253392</xdr:colOff>
      <xdr:row>6</xdr:row>
      <xdr:rowOff>80087</xdr:rowOff>
    </xdr:from>
    <xdr:to>
      <xdr:col>3</xdr:col>
      <xdr:colOff>238978</xdr:colOff>
      <xdr:row>11</xdr:row>
      <xdr:rowOff>104259</xdr:rowOff>
    </xdr:to>
    <xdr:pic>
      <xdr:nvPicPr>
        <xdr:cNvPr id="7" name="Picture 6">
          <a:extLst>
            <a:ext uri="{FF2B5EF4-FFF2-40B4-BE49-F238E27FC236}">
              <a16:creationId xmlns:a16="http://schemas.microsoft.com/office/drawing/2014/main" id="{913BDD2F-7923-4E0E-836B-E29EA34B741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62155" y="1575410"/>
          <a:ext cx="1200963" cy="118492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ski Mohamed" refreshedDate="46256.118292245374" createdVersion="6" refreshedVersion="6" minRefreshableVersion="3" recordCount="292" xr:uid="{807548C7-3C51-48DE-A546-F7D2AA7F1E9E}">
  <cacheSource type="worksheet">
    <worksheetSource name="Table1"/>
  </cacheSource>
  <cacheFields count="7">
    <cacheField name="Booking_ID" numFmtId="0">
      <sharedItems/>
    </cacheField>
    <cacheField name="Booking_Date" numFmtId="14">
      <sharedItems containsDate="1" containsBlank="1" containsMixedTypes="1" minDate="2025-01-02T00:00:00" maxDate="2026-08-01T00:00:00" count="210">
        <m/>
        <d v="2025-12-27T00:00:00"/>
        <d v="2026-04-11T00:00:00"/>
        <d v="2025-08-30T00:00:00"/>
        <d v="2025-08-18T00:00:00"/>
        <d v="2025-11-30T00:00:00"/>
        <d v="2025-04-26T00:00:00"/>
        <d v="2025-09-08T00:00:00"/>
        <d v="2025-02-09T00:00:00"/>
        <d v="2026-02-06T00:00:00"/>
        <d v="2025-12-20T00:00:00"/>
        <d v="2025-09-14T00:00:00"/>
        <d v="2025-06-14T00:00:00"/>
        <d v="2025-12-09T00:00:00"/>
        <d v="2025-02-10T00:00:00"/>
        <d v="2025-06-24T00:00:00"/>
        <d v="2025-01-31T00:00:00"/>
        <d v="2026-07-19T00:00:00"/>
        <d v="2025-06-03T00:00:00"/>
        <d v="2025-07-16T00:00:00"/>
        <d v="2025-10-30T00:00:00"/>
        <d v="2026-01-28T00:00:00"/>
        <d v="2025-08-17T00:00:00"/>
        <d v="2025-02-20T00:00:00"/>
        <d v="2025-04-16T00:00:00"/>
        <d v="2025-11-10T00:00:00"/>
        <d v="2026-01-05T00:00:00"/>
        <d v="2025-05-18T00:00:00"/>
        <d v="2025-10-03T00:00:00"/>
        <d v="2026-07-29T00:00:00"/>
        <d v="2026-04-25T00:00:00"/>
        <d v="2025-05-16T00:00:00"/>
        <d v="2026-04-07T00:00:00"/>
        <d v="2026-05-08T00:00:00"/>
        <d v="2025-04-07T00:00:00"/>
        <d v="2025-02-18T00:00:00"/>
        <d v="2025-07-29T00:00:00"/>
        <d v="2025-04-18T00:00:00"/>
        <d v="2025-09-25T00:00:00"/>
        <d v="2025-04-09T00:00:00"/>
        <d v="2025-05-07T00:00:00"/>
        <d v="2026-02-10T00:00:00"/>
        <d v="2026-02-05T00:00:00"/>
        <d v="2025-01-15T00:00:00"/>
        <d v="2026-05-02T00:00:00"/>
        <d v="2025-10-25T00:00:00"/>
        <d v="2026-06-05T00:00:00"/>
        <d v="2025-04-21T00:00:00"/>
        <d v="2025-10-15T00:00:00"/>
        <d v="2026-07-08T00:00:00"/>
        <d v="2025-06-16T00:00:00"/>
        <d v="2025-10-02T00:00:00"/>
        <d v="2025-04-12T00:00:00"/>
        <d v="2025-11-24T00:00:00"/>
        <d v="2026-07-07T00:00:00"/>
        <d v="2025-11-15T00:00:00"/>
        <d v="2025-04-06T00:00:00"/>
        <d v="2025-02-27T00:00:00"/>
        <d v="2025-08-02T00:00:00"/>
        <d v="2025-11-01T00:00:00"/>
        <d v="2025-01-24T00:00:00"/>
        <d v="2026-07-10T00:00:00"/>
        <d v="2025-03-03T00:00:00"/>
        <d v="2025-10-29T00:00:00"/>
        <d v="2026-04-15T00:00:00"/>
        <d v="2025-05-28T00:00:00"/>
        <d v="2025-10-26T00:00:00"/>
        <d v="2025-06-12T00:00:00"/>
        <d v="2025-08-05T00:00:00"/>
        <d v="2026-07-15T00:00:00"/>
        <d v="2026-01-23T00:00:00"/>
        <d v="2025-03-31T00:00:00"/>
        <d v="2025-08-22T00:00:00"/>
        <d v="2025-01-03T00:00:00"/>
        <d v="2026-07-24T00:00:00"/>
        <d v="2025-12-06T00:00:00"/>
        <d v="2025-05-10T00:00:00"/>
        <d v="2025-10-06T00:00:00"/>
        <d v="2026-07-28T00:00:00"/>
        <s v="N/A"/>
        <d v="2025-05-29T00:00:00"/>
        <d v="2025-05-11T00:00:00"/>
        <d v="2026-06-12T00:00:00"/>
        <d v="2025-08-03T00:00:00"/>
        <d v="2025-07-26T00:00:00"/>
        <d v="2026-02-14T00:00:00"/>
        <d v="2025-10-28T00:00:00"/>
        <d v="2026-06-20T00:00:00"/>
        <d v="2026-05-18T00:00:00"/>
        <d v="2026-01-27T00:00:00"/>
        <d v="2026-01-24T00:00:00"/>
        <d v="2025-05-26T00:00:00"/>
        <d v="2025-01-13T00:00:00"/>
        <d v="2026-05-15T00:00:00"/>
        <d v="2025-03-09T00:00:00"/>
        <d v="2025-11-25T00:00:00"/>
        <d v="2026-03-29T00:00:00"/>
        <d v="2026-04-22T00:00:00"/>
        <d v="2026-07-02T00:00:00"/>
        <d v="2025-11-08T00:00:00"/>
        <d v="2026-02-15T00:00:00"/>
        <d v="2025-12-18T00:00:00"/>
        <d v="2025-03-30T00:00:00"/>
        <d v="2025-03-19T00:00:00"/>
        <d v="2025-10-22T00:00:00"/>
        <d v="2025-02-15T00:00:00"/>
        <d v="2025-05-23T00:00:00"/>
        <d v="2026-05-25T00:00:00"/>
        <d v="2025-01-10T00:00:00"/>
        <d v="2025-05-04T00:00:00"/>
        <d v="2025-05-03T00:00:00"/>
        <d v="2025-12-23T00:00:00"/>
        <d v="2026-02-04T00:00:00"/>
        <d v="2025-08-24T00:00:00"/>
        <d v="2026-04-20T00:00:00"/>
        <d v="2025-10-01T00:00:00"/>
        <d v="2025-08-27T00:00:00"/>
        <d v="2025-09-13T00:00:00"/>
        <d v="2025-01-14T00:00:00"/>
        <d v="2025-07-03T00:00:00"/>
        <d v="2025-05-08T00:00:00"/>
        <d v="2025-10-21T00:00:00"/>
        <d v="2025-08-20T00:00:00"/>
        <d v="2026-01-12T00:00:00"/>
        <d v="2025-07-30T00:00:00"/>
        <d v="2026-06-01T00:00:00"/>
        <d v="2025-09-12T00:00:00"/>
        <d v="2026-03-05T00:00:00"/>
        <d v="2025-02-23T00:00:00"/>
        <d v="2026-03-08T00:00:00"/>
        <d v="2026-07-22T00:00:00"/>
        <d v="2025-12-24T00:00:00"/>
        <d v="2025-08-12T00:00:00"/>
        <d v="2026-04-12T00:00:00"/>
        <d v="2025-01-28T00:00:00"/>
        <d v="2025-06-07T00:00:00"/>
        <d v="2025-09-16T00:00:00"/>
        <d v="2026-01-21T00:00:00"/>
        <d v="2025-11-19T00:00:00"/>
        <d v="2026-07-18T00:00:00"/>
        <d v="2026-02-01T00:00:00"/>
        <d v="2026-07-25T00:00:00"/>
        <d v="2025-05-05T00:00:00"/>
        <d v="2026-04-17T00:00:00"/>
        <d v="2026-07-14T00:00:00"/>
        <d v="2025-03-08T00:00:00"/>
        <d v="2026-05-23T00:00:00"/>
        <d v="2025-08-15T00:00:00"/>
        <d v="2025-07-24T00:00:00"/>
        <d v="2025-02-14T00:00:00"/>
        <d v="2025-04-24T00:00:00"/>
        <d v="2025-03-18T00:00:00"/>
        <d v="2025-07-12T00:00:00"/>
        <d v="2025-05-22T00:00:00"/>
        <d v="2025-03-26T00:00:00"/>
        <d v="2026-03-24T00:00:00"/>
        <d v="2026-05-12T00:00:00"/>
        <d v="2026-01-07T00:00:00"/>
        <d v="2026-01-19T00:00:00"/>
        <d v="2026-03-18T00:00:00"/>
        <d v="2025-04-22T00:00:00"/>
        <d v="2026-05-05T00:00:00"/>
        <d v="2025-05-09T00:00:00"/>
        <d v="2025-02-05T00:00:00"/>
        <d v="2026-06-16T00:00:00"/>
        <d v="2026-07-21T00:00:00"/>
        <d v="2025-04-05T00:00:00"/>
        <d v="2025-01-27T00:00:00"/>
        <d v="2025-01-16T00:00:00"/>
        <d v="2025-09-18T00:00:00"/>
        <d v="2026-07-31T00:00:00"/>
        <d v="2026-06-08T00:00:00"/>
        <d v="2025-10-13T00:00:00"/>
        <d v="2025-06-29T00:00:00"/>
        <d v="2025-03-23T00:00:00"/>
        <d v="2026-06-13T00:00:00"/>
        <d v="2026-04-08T00:00:00"/>
        <d v="2026-06-11T00:00:00"/>
        <d v="2026-04-26T00:00:00"/>
        <d v="2025-03-24T00:00:00"/>
        <d v="2026-06-25T00:00:00"/>
        <d v="2026-01-06T00:00:00"/>
        <d v="2025-01-06T00:00:00"/>
        <d v="2025-04-10T00:00:00"/>
        <d v="2026-04-03T00:00:00"/>
        <d v="2026-02-28T00:00:00"/>
        <d v="2026-06-04T00:00:00"/>
        <d v="2025-10-17T00:00:00"/>
        <d v="2026-03-04T00:00:00"/>
        <d v="2026-02-17T00:00:00"/>
        <d v="2025-12-28T00:00:00"/>
        <d v="2026-05-11T00:00:00"/>
        <d v="2025-12-04T00:00:00"/>
        <d v="2025-01-21T00:00:00"/>
        <d v="2026-03-30T00:00:00"/>
        <d v="2026-01-16T00:00:00"/>
        <d v="2026-02-26T00:00:00"/>
        <d v="2026-01-20T00:00:00"/>
        <d v="2025-01-02T00:00:00"/>
        <d v="2026-03-16T00:00:00"/>
        <d v="2025-05-31T00:00:00"/>
        <d v="2025-09-23T00:00:00"/>
        <d v="2025-08-19T00:00:00"/>
        <d v="2025-09-11T00:00:00"/>
        <d v="2025-11-29T00:00:00"/>
        <d v="2026-02-03T00:00:00"/>
        <d v="2025-04-03T00:00:00"/>
        <d v="2026-01-13T00:00:00"/>
        <d v="2025-09-22T00:00:00"/>
        <d v="2026-06-22T00:00:00"/>
      </sharedItems>
    </cacheField>
    <cacheField name="Room_Type" numFmtId="0">
      <sharedItems count="4">
        <s v="Standard"/>
        <s v="Deluxe"/>
        <s v="Suite"/>
        <s v="Family"/>
      </sharedItems>
    </cacheField>
    <cacheField name="Customer_Type" numFmtId="0">
      <sharedItems count="3">
        <s v="New"/>
        <s v="Corporate"/>
        <s v="Returning"/>
      </sharedItems>
    </cacheField>
    <cacheField name="Nights" numFmtId="0">
      <sharedItems containsSemiMixedTypes="0" containsString="0" containsNumber="1" minValue="1" maxValue="45"/>
    </cacheField>
    <cacheField name="Room_Rate" numFmtId="2">
      <sharedItems containsSemiMixedTypes="0" containsString="0" containsNumber="1" minValue="40.57" maxValue="525"/>
    </cacheField>
    <cacheField name="Booking_Status" numFmtId="0">
      <sharedItems count="4">
        <s v="Completed"/>
        <s v="Confirmed"/>
        <s v="Cancelled"/>
        <s v="No-Show"/>
      </sharedItems>
    </cacheField>
  </cacheFields>
  <extLst>
    <ext xmlns:x14="http://schemas.microsoft.com/office/spreadsheetml/2009/9/main" uri="{725AE2AE-9491-48be-B2B4-4EB974FC3084}">
      <x14:pivotCacheDefinition pivotCacheId="1543529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
  <r>
    <s v="BKG00073"/>
    <x v="0"/>
    <x v="0"/>
    <x v="0"/>
    <n v="3"/>
    <n v="45.7"/>
    <x v="0"/>
  </r>
  <r>
    <s v="MISSING-001"/>
    <x v="1"/>
    <x v="1"/>
    <x v="0"/>
    <n v="10"/>
    <n v="69.03"/>
    <x v="0"/>
  </r>
  <r>
    <s v="MISSING-002"/>
    <x v="2"/>
    <x v="1"/>
    <x v="0"/>
    <n v="2"/>
    <n v="66.680000000000007"/>
    <x v="1"/>
  </r>
  <r>
    <s v="MISSING-003"/>
    <x v="3"/>
    <x v="0"/>
    <x v="1"/>
    <n v="2"/>
    <n v="44.5"/>
    <x v="0"/>
  </r>
  <r>
    <s v="MISSING-004"/>
    <x v="4"/>
    <x v="1"/>
    <x v="0"/>
    <n v="10"/>
    <n v="78.87"/>
    <x v="0"/>
  </r>
  <r>
    <s v="MISSING-005"/>
    <x v="5"/>
    <x v="2"/>
    <x v="0"/>
    <n v="5.56"/>
    <n v="129.5"/>
    <x v="2"/>
  </r>
  <r>
    <s v="MISSING-006"/>
    <x v="6"/>
    <x v="1"/>
    <x v="0"/>
    <n v="2"/>
    <n v="72.98"/>
    <x v="2"/>
  </r>
  <r>
    <s v="MISSING-007"/>
    <x v="0"/>
    <x v="2"/>
    <x v="0"/>
    <n v="9"/>
    <n v="122.35"/>
    <x v="2"/>
  </r>
  <r>
    <s v="MISSING-008"/>
    <x v="7"/>
    <x v="0"/>
    <x v="2"/>
    <n v="7"/>
    <n v="55.16"/>
    <x v="2"/>
  </r>
  <r>
    <s v="MISSING-009"/>
    <x v="8"/>
    <x v="0"/>
    <x v="0"/>
    <n v="3"/>
    <n v="41.85"/>
    <x v="0"/>
  </r>
  <r>
    <s v="MISSING-010"/>
    <x v="9"/>
    <x v="0"/>
    <x v="1"/>
    <n v="6"/>
    <n v="45.07"/>
    <x v="0"/>
  </r>
  <r>
    <s v="MISSING-011"/>
    <x v="10"/>
    <x v="0"/>
    <x v="1"/>
    <n v="2"/>
    <n v="42.03"/>
    <x v="0"/>
  </r>
  <r>
    <s v="MISSING-012"/>
    <x v="11"/>
    <x v="0"/>
    <x v="2"/>
    <n v="1"/>
    <n v="55.71"/>
    <x v="0"/>
  </r>
  <r>
    <s v="MISSING-013"/>
    <x v="12"/>
    <x v="0"/>
    <x v="2"/>
    <n v="5.56"/>
    <n v="47.23"/>
    <x v="3"/>
  </r>
  <r>
    <s v="MISSING-014"/>
    <x v="13"/>
    <x v="0"/>
    <x v="0"/>
    <n v="4"/>
    <n v="43.09"/>
    <x v="0"/>
  </r>
  <r>
    <s v="MISSING-015"/>
    <x v="14"/>
    <x v="0"/>
    <x v="2"/>
    <n v="1"/>
    <n v="45"/>
    <x v="0"/>
  </r>
  <r>
    <s v="BKG00217"/>
    <x v="15"/>
    <x v="0"/>
    <x v="2"/>
    <n v="7"/>
    <n v="53.8"/>
    <x v="0"/>
  </r>
  <r>
    <s v="BKG00212"/>
    <x v="16"/>
    <x v="0"/>
    <x v="0"/>
    <n v="3"/>
    <n v="41.94"/>
    <x v="2"/>
  </r>
  <r>
    <s v="MISSING-016"/>
    <x v="17"/>
    <x v="1"/>
    <x v="2"/>
    <n v="8"/>
    <n v="69.040000000000006"/>
    <x v="2"/>
  </r>
  <r>
    <s v="BKG00252"/>
    <x v="18"/>
    <x v="2"/>
    <x v="2"/>
    <n v="8"/>
    <n v="122.97"/>
    <x v="0"/>
  </r>
  <r>
    <s v="BKG00076"/>
    <x v="19"/>
    <x v="1"/>
    <x v="0"/>
    <n v="1"/>
    <n v="65.22"/>
    <x v="2"/>
  </r>
  <r>
    <s v="BKG00185"/>
    <x v="20"/>
    <x v="0"/>
    <x v="1"/>
    <n v="7"/>
    <n v="45.26"/>
    <x v="0"/>
  </r>
  <r>
    <s v="BKG00240"/>
    <x v="21"/>
    <x v="2"/>
    <x v="2"/>
    <n v="2"/>
    <n v="142.34"/>
    <x v="2"/>
  </r>
  <r>
    <s v="BKG00164"/>
    <x v="22"/>
    <x v="2"/>
    <x v="1"/>
    <n v="6"/>
    <n v="115.74"/>
    <x v="2"/>
  </r>
  <r>
    <s v="BKG00017"/>
    <x v="23"/>
    <x v="0"/>
    <x v="2"/>
    <n v="7"/>
    <n v="54.69"/>
    <x v="0"/>
  </r>
  <r>
    <s v="BKG00008"/>
    <x v="24"/>
    <x v="3"/>
    <x v="2"/>
    <n v="2"/>
    <n v="112.14"/>
    <x v="0"/>
  </r>
  <r>
    <s v="BKG00062"/>
    <x v="25"/>
    <x v="1"/>
    <x v="0"/>
    <n v="8"/>
    <n v="79.8"/>
    <x v="0"/>
  </r>
  <r>
    <s v="BKG00054"/>
    <x v="26"/>
    <x v="0"/>
    <x v="0"/>
    <n v="2"/>
    <n v="81.31"/>
    <x v="1"/>
  </r>
  <r>
    <s v="BKG00006"/>
    <x v="27"/>
    <x v="3"/>
    <x v="1"/>
    <n v="4"/>
    <n v="113.57"/>
    <x v="0"/>
  </r>
  <r>
    <s v="BKG00083"/>
    <x v="0"/>
    <x v="0"/>
    <x v="2"/>
    <n v="8"/>
    <n v="43.87"/>
    <x v="0"/>
  </r>
  <r>
    <s v="BKG00214"/>
    <x v="28"/>
    <x v="1"/>
    <x v="0"/>
    <n v="3"/>
    <n v="68.260000000000005"/>
    <x v="0"/>
  </r>
  <r>
    <s v="BKG00029"/>
    <x v="29"/>
    <x v="1"/>
    <x v="1"/>
    <n v="4"/>
    <n v="75.510000000000005"/>
    <x v="1"/>
  </r>
  <r>
    <s v="BKG00258"/>
    <x v="30"/>
    <x v="0"/>
    <x v="0"/>
    <n v="3"/>
    <n v="43.98"/>
    <x v="0"/>
  </r>
  <r>
    <s v="BKG00270"/>
    <x v="31"/>
    <x v="1"/>
    <x v="2"/>
    <n v="6"/>
    <n v="82.61"/>
    <x v="0"/>
  </r>
  <r>
    <s v="BKG00042"/>
    <x v="32"/>
    <x v="0"/>
    <x v="2"/>
    <n v="7"/>
    <n v="119.02"/>
    <x v="2"/>
  </r>
  <r>
    <s v="BKG00135"/>
    <x v="33"/>
    <x v="0"/>
    <x v="0"/>
    <n v="3"/>
    <n v="50.12"/>
    <x v="2"/>
  </r>
  <r>
    <s v="BKG00182"/>
    <x v="34"/>
    <x v="0"/>
    <x v="1"/>
    <n v="4"/>
    <n v="41.75"/>
    <x v="0"/>
  </r>
  <r>
    <s v="BKG00025"/>
    <x v="35"/>
    <x v="0"/>
    <x v="2"/>
    <n v="5"/>
    <n v="43.17"/>
    <x v="0"/>
  </r>
  <r>
    <s v="BKG00002"/>
    <x v="0"/>
    <x v="3"/>
    <x v="1"/>
    <n v="1"/>
    <n v="94.46"/>
    <x v="1"/>
  </r>
  <r>
    <s v="BKG00059"/>
    <x v="36"/>
    <x v="2"/>
    <x v="1"/>
    <n v="9"/>
    <n v="130.59"/>
    <x v="0"/>
  </r>
  <r>
    <s v="BKG00030"/>
    <x v="10"/>
    <x v="1"/>
    <x v="1"/>
    <n v="4"/>
    <n v="68.489999999999995"/>
    <x v="2"/>
  </r>
  <r>
    <s v="BKG00058"/>
    <x v="37"/>
    <x v="0"/>
    <x v="2"/>
    <n v="5.56"/>
    <n v="54.84"/>
    <x v="0"/>
  </r>
  <r>
    <s v="BKG00254"/>
    <x v="38"/>
    <x v="1"/>
    <x v="0"/>
    <n v="6"/>
    <n v="70.849999999999994"/>
    <x v="0"/>
  </r>
  <r>
    <s v="BKG00099"/>
    <x v="39"/>
    <x v="0"/>
    <x v="1"/>
    <n v="9"/>
    <n v="40.94"/>
    <x v="0"/>
  </r>
  <r>
    <s v="BKG00053"/>
    <x v="40"/>
    <x v="1"/>
    <x v="0"/>
    <n v="2"/>
    <n v="63.25"/>
    <x v="0"/>
  </r>
  <r>
    <s v="BKG00179"/>
    <x v="41"/>
    <x v="3"/>
    <x v="0"/>
    <n v="5.56"/>
    <n v="107.88"/>
    <x v="1"/>
  </r>
  <r>
    <s v="BKG00051"/>
    <x v="42"/>
    <x v="0"/>
    <x v="0"/>
    <n v="8"/>
    <n v="44.65"/>
    <x v="1"/>
  </r>
  <r>
    <s v="BKG00117"/>
    <x v="43"/>
    <x v="2"/>
    <x v="0"/>
    <n v="6"/>
    <n v="120.33"/>
    <x v="1"/>
  </r>
  <r>
    <s v="BKG00105"/>
    <x v="25"/>
    <x v="0"/>
    <x v="2"/>
    <n v="45"/>
    <n v="50.15"/>
    <x v="0"/>
  </r>
  <r>
    <s v="BKG00231"/>
    <x v="44"/>
    <x v="0"/>
    <x v="2"/>
    <n v="6"/>
    <n v="42.69"/>
    <x v="0"/>
  </r>
  <r>
    <s v="BKG00260"/>
    <x v="45"/>
    <x v="0"/>
    <x v="1"/>
    <n v="2"/>
    <n v="53.78"/>
    <x v="2"/>
  </r>
  <r>
    <s v="BKG00141"/>
    <x v="46"/>
    <x v="1"/>
    <x v="0"/>
    <n v="6"/>
    <n v="76.61"/>
    <x v="1"/>
  </r>
  <r>
    <s v="BKG00038"/>
    <x v="47"/>
    <x v="3"/>
    <x v="0"/>
    <n v="1"/>
    <n v="97.23"/>
    <x v="0"/>
  </r>
  <r>
    <s v="BKG00149"/>
    <x v="48"/>
    <x v="1"/>
    <x v="1"/>
    <n v="5.56"/>
    <n v="84.69"/>
    <x v="0"/>
  </r>
  <r>
    <s v="BKG00199"/>
    <x v="49"/>
    <x v="0"/>
    <x v="0"/>
    <n v="7"/>
    <n v="53.33"/>
    <x v="0"/>
  </r>
  <r>
    <s v="BKG00238"/>
    <x v="50"/>
    <x v="3"/>
    <x v="0"/>
    <n v="4"/>
    <n v="109.18"/>
    <x v="1"/>
  </r>
  <r>
    <s v="BKG00226"/>
    <x v="51"/>
    <x v="0"/>
    <x v="2"/>
    <n v="7"/>
    <n v="128.94999999999999"/>
    <x v="3"/>
  </r>
  <r>
    <s v="BKG00187"/>
    <x v="52"/>
    <x v="3"/>
    <x v="2"/>
    <n v="5.56"/>
    <n v="86.81"/>
    <x v="0"/>
  </r>
  <r>
    <s v="BKG00009"/>
    <x v="53"/>
    <x v="0"/>
    <x v="2"/>
    <n v="6"/>
    <n v="40.729999999999997"/>
    <x v="1"/>
  </r>
  <r>
    <s v="BKG00195"/>
    <x v="54"/>
    <x v="0"/>
    <x v="2"/>
    <n v="2"/>
    <n v="76.61"/>
    <x v="1"/>
  </r>
  <r>
    <s v="BKG00137"/>
    <x v="55"/>
    <x v="1"/>
    <x v="1"/>
    <n v="3"/>
    <n v="64.959999999999994"/>
    <x v="1"/>
  </r>
  <r>
    <s v="BKG00014"/>
    <x v="56"/>
    <x v="2"/>
    <x v="1"/>
    <n v="3"/>
    <n v="132.94999999999999"/>
    <x v="0"/>
  </r>
  <r>
    <s v="BKG00275"/>
    <x v="57"/>
    <x v="1"/>
    <x v="0"/>
    <n v="3"/>
    <n v="71.98"/>
    <x v="0"/>
  </r>
  <r>
    <s v="BKG00233"/>
    <x v="58"/>
    <x v="0"/>
    <x v="0"/>
    <n v="5"/>
    <n v="51.45"/>
    <x v="0"/>
  </r>
  <r>
    <s v="BKG00128"/>
    <x v="24"/>
    <x v="0"/>
    <x v="0"/>
    <n v="1"/>
    <n v="42.07"/>
    <x v="2"/>
  </r>
  <r>
    <s v="BKG00072"/>
    <x v="59"/>
    <x v="2"/>
    <x v="0"/>
    <n v="1"/>
    <n v="116.29"/>
    <x v="0"/>
  </r>
  <r>
    <s v="BKG00138"/>
    <x v="60"/>
    <x v="0"/>
    <x v="1"/>
    <n v="1"/>
    <n v="48.81"/>
    <x v="1"/>
  </r>
  <r>
    <s v="BKG00142"/>
    <x v="0"/>
    <x v="0"/>
    <x v="2"/>
    <n v="5"/>
    <n v="53.6"/>
    <x v="0"/>
  </r>
  <r>
    <s v="BKG00071"/>
    <x v="61"/>
    <x v="0"/>
    <x v="2"/>
    <n v="40"/>
    <n v="43.31"/>
    <x v="1"/>
  </r>
  <r>
    <s v="BKG00004"/>
    <x v="62"/>
    <x v="2"/>
    <x v="2"/>
    <n v="9"/>
    <n v="147.33000000000001"/>
    <x v="2"/>
  </r>
  <r>
    <s v="BKG00147"/>
    <x v="63"/>
    <x v="0"/>
    <x v="2"/>
    <n v="3"/>
    <n v="48.56"/>
    <x v="0"/>
  </r>
  <r>
    <s v="BKG00107"/>
    <x v="64"/>
    <x v="0"/>
    <x v="1"/>
    <n v="4"/>
    <n v="40.75"/>
    <x v="0"/>
  </r>
  <r>
    <s v="BKG00159"/>
    <x v="65"/>
    <x v="0"/>
    <x v="1"/>
    <n v="4"/>
    <n v="47.45"/>
    <x v="0"/>
  </r>
  <r>
    <s v="BKG00262"/>
    <x v="47"/>
    <x v="2"/>
    <x v="0"/>
    <n v="2"/>
    <n v="145"/>
    <x v="0"/>
  </r>
  <r>
    <s v="BKG00155"/>
    <x v="66"/>
    <x v="0"/>
    <x v="2"/>
    <n v="7"/>
    <n v="49.46"/>
    <x v="0"/>
  </r>
  <r>
    <s v="BKG00104"/>
    <x v="39"/>
    <x v="1"/>
    <x v="0"/>
    <n v="9"/>
    <n v="80.239999999999995"/>
    <x v="0"/>
  </r>
  <r>
    <s v="BKG00236"/>
    <x v="67"/>
    <x v="3"/>
    <x v="2"/>
    <n v="8"/>
    <n v="106.81"/>
    <x v="0"/>
  </r>
  <r>
    <s v="BKG00120"/>
    <x v="68"/>
    <x v="1"/>
    <x v="1"/>
    <n v="7"/>
    <n v="76.61"/>
    <x v="0"/>
  </r>
  <r>
    <s v="BKG00001"/>
    <x v="69"/>
    <x v="0"/>
    <x v="1"/>
    <n v="5"/>
    <n v="76.61"/>
    <x v="2"/>
  </r>
  <r>
    <s v="BKG00088"/>
    <x v="47"/>
    <x v="2"/>
    <x v="2"/>
    <n v="3"/>
    <n v="76.61"/>
    <x v="0"/>
  </r>
  <r>
    <s v="BKG00276"/>
    <x v="20"/>
    <x v="0"/>
    <x v="2"/>
    <n v="10"/>
    <n v="53.29"/>
    <x v="2"/>
  </r>
  <r>
    <s v="BKG00063"/>
    <x v="70"/>
    <x v="0"/>
    <x v="1"/>
    <n v="4"/>
    <n v="45.19"/>
    <x v="1"/>
  </r>
  <r>
    <s v="BKG00165"/>
    <x v="56"/>
    <x v="0"/>
    <x v="0"/>
    <n v="7"/>
    <n v="76.61"/>
    <x v="0"/>
  </r>
  <r>
    <s v="BKG00160"/>
    <x v="71"/>
    <x v="0"/>
    <x v="0"/>
    <n v="4"/>
    <n v="41.79"/>
    <x v="3"/>
  </r>
  <r>
    <s v="BKG00037"/>
    <x v="72"/>
    <x v="0"/>
    <x v="0"/>
    <n v="4"/>
    <n v="76.61"/>
    <x v="0"/>
  </r>
  <r>
    <s v="BKG00078"/>
    <x v="73"/>
    <x v="2"/>
    <x v="0"/>
    <n v="2"/>
    <n v="76.61"/>
    <x v="0"/>
  </r>
  <r>
    <s v="BKG00221"/>
    <x v="74"/>
    <x v="0"/>
    <x v="0"/>
    <n v="5"/>
    <n v="52.72"/>
    <x v="0"/>
  </r>
  <r>
    <s v="BKG00265"/>
    <x v="75"/>
    <x v="0"/>
    <x v="0"/>
    <n v="7"/>
    <n v="48.65"/>
    <x v="3"/>
  </r>
  <r>
    <s v="BKG00075"/>
    <x v="76"/>
    <x v="2"/>
    <x v="1"/>
    <n v="2"/>
    <n v="122.31"/>
    <x v="0"/>
  </r>
  <r>
    <s v="BKG00067"/>
    <x v="77"/>
    <x v="0"/>
    <x v="2"/>
    <n v="3"/>
    <n v="51.02"/>
    <x v="0"/>
  </r>
  <r>
    <s v="BKG00170"/>
    <x v="78"/>
    <x v="3"/>
    <x v="2"/>
    <n v="6"/>
    <n v="104.17"/>
    <x v="0"/>
  </r>
  <r>
    <s v="BKG00118"/>
    <x v="53"/>
    <x v="0"/>
    <x v="0"/>
    <n v="9"/>
    <n v="51.18"/>
    <x v="2"/>
  </r>
  <r>
    <s v="BKG00060"/>
    <x v="79"/>
    <x v="1"/>
    <x v="2"/>
    <n v="9"/>
    <n v="81.3"/>
    <x v="1"/>
  </r>
  <r>
    <s v="BKG00257"/>
    <x v="80"/>
    <x v="2"/>
    <x v="1"/>
    <n v="10"/>
    <n v="118.32"/>
    <x v="0"/>
  </r>
  <r>
    <s v="BKG00010"/>
    <x v="81"/>
    <x v="2"/>
    <x v="1"/>
    <n v="3"/>
    <n v="122.21"/>
    <x v="0"/>
  </r>
  <r>
    <s v="BKG00230"/>
    <x v="82"/>
    <x v="1"/>
    <x v="0"/>
    <n v="7"/>
    <n v="75.23"/>
    <x v="0"/>
  </r>
  <r>
    <s v="BKG00189"/>
    <x v="83"/>
    <x v="1"/>
    <x v="0"/>
    <n v="6"/>
    <n v="73.56"/>
    <x v="0"/>
  </r>
  <r>
    <s v="BKG00228"/>
    <x v="84"/>
    <x v="0"/>
    <x v="0"/>
    <n v="7"/>
    <n v="43.04"/>
    <x v="0"/>
  </r>
  <r>
    <s v="BKG00253"/>
    <x v="85"/>
    <x v="0"/>
    <x v="2"/>
    <n v="2"/>
    <n v="53.39"/>
    <x v="2"/>
  </r>
  <r>
    <s v="BKG00005"/>
    <x v="86"/>
    <x v="1"/>
    <x v="0"/>
    <n v="6"/>
    <n v="78.98"/>
    <x v="0"/>
  </r>
  <r>
    <s v="BKG00084"/>
    <x v="38"/>
    <x v="0"/>
    <x v="1"/>
    <n v="2"/>
    <n v="51.48"/>
    <x v="1"/>
  </r>
  <r>
    <s v="BKG00167"/>
    <x v="87"/>
    <x v="1"/>
    <x v="0"/>
    <n v="7"/>
    <n v="78.84"/>
    <x v="0"/>
  </r>
  <r>
    <s v="BKG00178"/>
    <x v="12"/>
    <x v="0"/>
    <x v="0"/>
    <n v="5"/>
    <n v="44.24"/>
    <x v="0"/>
  </r>
  <r>
    <s v="BKG00133"/>
    <x v="69"/>
    <x v="3"/>
    <x v="2"/>
    <n v="4"/>
    <n v="89.93"/>
    <x v="0"/>
  </r>
  <r>
    <s v="BKG00103"/>
    <x v="88"/>
    <x v="0"/>
    <x v="2"/>
    <n v="4"/>
    <n v="43.79"/>
    <x v="0"/>
  </r>
  <r>
    <s v="BKG00119"/>
    <x v="89"/>
    <x v="0"/>
    <x v="2"/>
    <n v="4"/>
    <n v="55.13"/>
    <x v="3"/>
  </r>
  <r>
    <s v="BKG00019"/>
    <x v="90"/>
    <x v="1"/>
    <x v="2"/>
    <n v="1"/>
    <n v="85.31"/>
    <x v="0"/>
  </r>
  <r>
    <s v="BKG00115"/>
    <x v="91"/>
    <x v="2"/>
    <x v="0"/>
    <n v="5"/>
    <n v="525"/>
    <x v="1"/>
  </r>
  <r>
    <s v="BKG00091"/>
    <x v="92"/>
    <x v="1"/>
    <x v="2"/>
    <n v="9"/>
    <n v="72.64"/>
    <x v="2"/>
  </r>
  <r>
    <s v="BKG00222"/>
    <x v="66"/>
    <x v="0"/>
    <x v="1"/>
    <n v="4"/>
    <n v="43.88"/>
    <x v="0"/>
  </r>
  <r>
    <s v="BKG00190"/>
    <x v="48"/>
    <x v="2"/>
    <x v="1"/>
    <n v="3"/>
    <n v="120.02"/>
    <x v="3"/>
  </r>
  <r>
    <s v="BKG00210"/>
    <x v="93"/>
    <x v="0"/>
    <x v="0"/>
    <n v="9"/>
    <n v="40.83"/>
    <x v="0"/>
  </r>
  <r>
    <s v="BKG00153"/>
    <x v="94"/>
    <x v="0"/>
    <x v="0"/>
    <n v="5.56"/>
    <n v="54.83"/>
    <x v="2"/>
  </r>
  <r>
    <s v="BKG00171"/>
    <x v="6"/>
    <x v="0"/>
    <x v="0"/>
    <n v="10"/>
    <n v="76.61"/>
    <x v="0"/>
  </r>
  <r>
    <s v="BKG00186"/>
    <x v="95"/>
    <x v="0"/>
    <x v="0"/>
    <n v="8"/>
    <n v="40.78"/>
    <x v="3"/>
  </r>
  <r>
    <s v="BKG00202"/>
    <x v="96"/>
    <x v="0"/>
    <x v="2"/>
    <n v="10"/>
    <n v="70.209999999999994"/>
    <x v="3"/>
  </r>
  <r>
    <s v="BKG00097"/>
    <x v="97"/>
    <x v="2"/>
    <x v="0"/>
    <n v="4"/>
    <n v="137.35"/>
    <x v="1"/>
  </r>
  <r>
    <s v="BKG00188"/>
    <x v="1"/>
    <x v="1"/>
    <x v="2"/>
    <n v="7"/>
    <n v="83.56"/>
    <x v="3"/>
  </r>
  <r>
    <s v="BKG00022"/>
    <x v="98"/>
    <x v="0"/>
    <x v="1"/>
    <n v="10"/>
    <n v="45.65"/>
    <x v="1"/>
  </r>
  <r>
    <s v="BKG00031"/>
    <x v="99"/>
    <x v="0"/>
    <x v="2"/>
    <n v="1"/>
    <n v="54.54"/>
    <x v="2"/>
  </r>
  <r>
    <s v="BKG00033"/>
    <x v="100"/>
    <x v="2"/>
    <x v="1"/>
    <n v="2"/>
    <n v="141.68"/>
    <x v="0"/>
  </r>
  <r>
    <s v="BKG00064"/>
    <x v="101"/>
    <x v="0"/>
    <x v="1"/>
    <n v="5.56"/>
    <n v="55.9"/>
    <x v="0"/>
  </r>
  <r>
    <s v="BKG00130"/>
    <x v="102"/>
    <x v="3"/>
    <x v="2"/>
    <n v="10"/>
    <n v="90.94"/>
    <x v="2"/>
  </r>
  <r>
    <s v="BKG00056"/>
    <x v="103"/>
    <x v="0"/>
    <x v="0"/>
    <n v="6"/>
    <n v="52.39"/>
    <x v="1"/>
  </r>
  <r>
    <s v="BKG00122"/>
    <x v="11"/>
    <x v="3"/>
    <x v="1"/>
    <n v="10"/>
    <n v="114.14"/>
    <x v="1"/>
  </r>
  <r>
    <s v="BKG00129"/>
    <x v="96"/>
    <x v="0"/>
    <x v="0"/>
    <n v="5"/>
    <n v="76.61"/>
    <x v="2"/>
  </r>
  <r>
    <s v="BKG00150"/>
    <x v="104"/>
    <x v="0"/>
    <x v="2"/>
    <n v="7"/>
    <n v="43.27"/>
    <x v="0"/>
  </r>
  <r>
    <s v="BKG00219"/>
    <x v="105"/>
    <x v="1"/>
    <x v="1"/>
    <n v="5.56"/>
    <n v="82.64"/>
    <x v="1"/>
  </r>
  <r>
    <s v="BKG00036"/>
    <x v="106"/>
    <x v="0"/>
    <x v="2"/>
    <n v="2"/>
    <n v="44.3"/>
    <x v="0"/>
  </r>
  <r>
    <s v="BKG00255"/>
    <x v="107"/>
    <x v="0"/>
    <x v="0"/>
    <n v="5"/>
    <n v="54.21"/>
    <x v="0"/>
  </r>
  <r>
    <s v="BKG00175"/>
    <x v="108"/>
    <x v="3"/>
    <x v="2"/>
    <n v="6"/>
    <n v="515"/>
    <x v="0"/>
  </r>
  <r>
    <s v="BKG00203"/>
    <x v="0"/>
    <x v="0"/>
    <x v="2"/>
    <n v="8"/>
    <n v="42.39"/>
    <x v="0"/>
  </r>
  <r>
    <s v="BKG00196"/>
    <x v="109"/>
    <x v="3"/>
    <x v="1"/>
    <n v="4"/>
    <n v="111.06"/>
    <x v="2"/>
  </r>
  <r>
    <s v="BKG00174"/>
    <x v="88"/>
    <x v="0"/>
    <x v="2"/>
    <n v="4"/>
    <n v="52.33"/>
    <x v="3"/>
  </r>
  <r>
    <s v="BKG00116"/>
    <x v="110"/>
    <x v="0"/>
    <x v="2"/>
    <n v="7"/>
    <n v="55.55"/>
    <x v="1"/>
  </r>
  <r>
    <s v="BKG00127"/>
    <x v="111"/>
    <x v="1"/>
    <x v="0"/>
    <n v="8"/>
    <n v="64.319999999999993"/>
    <x v="0"/>
  </r>
  <r>
    <s v="BKG00201"/>
    <x v="0"/>
    <x v="3"/>
    <x v="0"/>
    <n v="1"/>
    <n v="103.2"/>
    <x v="1"/>
  </r>
  <r>
    <s v="BKG00043"/>
    <x v="112"/>
    <x v="3"/>
    <x v="0"/>
    <n v="3"/>
    <n v="108.73"/>
    <x v="2"/>
  </r>
  <r>
    <s v="BKG00070"/>
    <x v="33"/>
    <x v="0"/>
    <x v="0"/>
    <n v="7"/>
    <n v="44.26"/>
    <x v="0"/>
  </r>
  <r>
    <s v="BKG00087"/>
    <x v="113"/>
    <x v="1"/>
    <x v="2"/>
    <n v="1"/>
    <n v="84.69"/>
    <x v="0"/>
  </r>
  <r>
    <s v="BKG00267"/>
    <x v="114"/>
    <x v="3"/>
    <x v="0"/>
    <n v="5"/>
    <n v="110.74"/>
    <x v="0"/>
  </r>
  <r>
    <s v="BKG00057"/>
    <x v="115"/>
    <x v="0"/>
    <x v="2"/>
    <n v="4"/>
    <n v="43.46"/>
    <x v="0"/>
  </r>
  <r>
    <s v="BKG00268"/>
    <x v="116"/>
    <x v="3"/>
    <x v="0"/>
    <n v="6"/>
    <n v="102.65"/>
    <x v="0"/>
  </r>
  <r>
    <s v="BKG00163"/>
    <x v="26"/>
    <x v="0"/>
    <x v="0"/>
    <n v="3"/>
    <n v="48.88"/>
    <x v="2"/>
  </r>
  <r>
    <s v="BKG00055"/>
    <x v="117"/>
    <x v="3"/>
    <x v="2"/>
    <n v="1"/>
    <n v="105.56"/>
    <x v="0"/>
  </r>
  <r>
    <s v="BKG00146"/>
    <x v="118"/>
    <x v="0"/>
    <x v="2"/>
    <n v="2"/>
    <n v="51.91"/>
    <x v="1"/>
  </r>
  <r>
    <s v="BKG00148"/>
    <x v="119"/>
    <x v="0"/>
    <x v="2"/>
    <n v="3"/>
    <n v="43.94"/>
    <x v="0"/>
  </r>
  <r>
    <s v="BKG00269"/>
    <x v="78"/>
    <x v="0"/>
    <x v="0"/>
    <n v="1"/>
    <n v="43.28"/>
    <x v="0"/>
  </r>
  <r>
    <s v="BKG00048"/>
    <x v="120"/>
    <x v="1"/>
    <x v="0"/>
    <n v="5.56"/>
    <n v="77.209999999999994"/>
    <x v="2"/>
  </r>
  <r>
    <s v="BKG00068"/>
    <x v="121"/>
    <x v="1"/>
    <x v="0"/>
    <n v="10"/>
    <n v="86.13"/>
    <x v="3"/>
  </r>
  <r>
    <s v="BKG00049"/>
    <x v="0"/>
    <x v="0"/>
    <x v="2"/>
    <n v="6"/>
    <n v="43.86"/>
    <x v="3"/>
  </r>
  <r>
    <s v="BKG00193"/>
    <x v="122"/>
    <x v="0"/>
    <x v="2"/>
    <n v="4"/>
    <n v="76.61"/>
    <x v="3"/>
  </r>
  <r>
    <s v="BKG00281"/>
    <x v="123"/>
    <x v="1"/>
    <x v="2"/>
    <n v="6"/>
    <n v="72.790000000000006"/>
    <x v="0"/>
  </r>
  <r>
    <s v="BKG00284"/>
    <x v="124"/>
    <x v="0"/>
    <x v="0"/>
    <n v="4"/>
    <n v="49.74"/>
    <x v="1"/>
  </r>
  <r>
    <s v="BKG00191"/>
    <x v="24"/>
    <x v="0"/>
    <x v="0"/>
    <n v="5"/>
    <n v="50.34"/>
    <x v="0"/>
  </r>
  <r>
    <s v="BKG00289"/>
    <x v="125"/>
    <x v="3"/>
    <x v="1"/>
    <n v="2"/>
    <n v="113.64"/>
    <x v="2"/>
  </r>
  <r>
    <s v="BKG00136"/>
    <x v="112"/>
    <x v="2"/>
    <x v="0"/>
    <n v="7"/>
    <n v="138.74"/>
    <x v="0"/>
  </r>
  <r>
    <s v="BKG00192"/>
    <x v="126"/>
    <x v="1"/>
    <x v="0"/>
    <n v="4"/>
    <n v="74"/>
    <x v="2"/>
  </r>
  <r>
    <s v="BKG00291"/>
    <x v="127"/>
    <x v="0"/>
    <x v="2"/>
    <n v="4"/>
    <n v="53.73"/>
    <x v="0"/>
  </r>
  <r>
    <s v="BKG00208"/>
    <x v="128"/>
    <x v="0"/>
    <x v="0"/>
    <n v="4"/>
    <n v="56.04"/>
    <x v="1"/>
  </r>
  <r>
    <s v="BKG00100"/>
    <x v="39"/>
    <x v="1"/>
    <x v="0"/>
    <n v="9"/>
    <n v="74.17"/>
    <x v="2"/>
  </r>
  <r>
    <s v="BKG00173"/>
    <x v="129"/>
    <x v="2"/>
    <x v="0"/>
    <n v="9"/>
    <n v="109.12"/>
    <x v="1"/>
  </r>
  <r>
    <s v="BKG00018"/>
    <x v="130"/>
    <x v="0"/>
    <x v="0"/>
    <n v="7"/>
    <n v="47.51"/>
    <x v="0"/>
  </r>
  <r>
    <s v="BKG00111"/>
    <x v="31"/>
    <x v="1"/>
    <x v="2"/>
    <n v="10"/>
    <n v="77.12"/>
    <x v="2"/>
  </r>
  <r>
    <s v="BKG00251"/>
    <x v="86"/>
    <x v="0"/>
    <x v="0"/>
    <n v="10"/>
    <n v="40.98"/>
    <x v="0"/>
  </r>
  <r>
    <s v="BKG00102"/>
    <x v="105"/>
    <x v="1"/>
    <x v="0"/>
    <n v="10"/>
    <n v="77.97"/>
    <x v="0"/>
  </r>
  <r>
    <s v="BKG00292"/>
    <x v="0"/>
    <x v="1"/>
    <x v="1"/>
    <n v="9"/>
    <n v="84.91"/>
    <x v="0"/>
  </r>
  <r>
    <s v="BKG00011"/>
    <x v="131"/>
    <x v="0"/>
    <x v="2"/>
    <n v="8"/>
    <n v="43.61"/>
    <x v="2"/>
  </r>
  <r>
    <s v="BKG00096"/>
    <x v="0"/>
    <x v="1"/>
    <x v="2"/>
    <n v="1"/>
    <n v="77.53"/>
    <x v="2"/>
  </r>
  <r>
    <s v="BKG00013"/>
    <x v="25"/>
    <x v="0"/>
    <x v="2"/>
    <n v="5"/>
    <n v="51.59"/>
    <x v="0"/>
  </r>
  <r>
    <s v="BKG00061"/>
    <x v="132"/>
    <x v="0"/>
    <x v="0"/>
    <n v="5"/>
    <n v="53.02"/>
    <x v="0"/>
  </r>
  <r>
    <s v="BKG00110"/>
    <x v="133"/>
    <x v="0"/>
    <x v="0"/>
    <n v="4"/>
    <n v="42.88"/>
    <x v="2"/>
  </r>
  <r>
    <s v="BKG00034"/>
    <x v="134"/>
    <x v="0"/>
    <x v="0"/>
    <n v="9"/>
    <n v="76.61"/>
    <x v="0"/>
  </r>
  <r>
    <s v="BKG00283"/>
    <x v="135"/>
    <x v="0"/>
    <x v="0"/>
    <n v="6"/>
    <n v="53.02"/>
    <x v="3"/>
  </r>
  <r>
    <s v="BKG00207"/>
    <x v="136"/>
    <x v="2"/>
    <x v="1"/>
    <n v="5.56"/>
    <n v="122.18"/>
    <x v="0"/>
  </r>
  <r>
    <s v="BKG00180"/>
    <x v="0"/>
    <x v="0"/>
    <x v="0"/>
    <n v="8"/>
    <n v="46.48"/>
    <x v="0"/>
  </r>
  <r>
    <s v="BKG00266"/>
    <x v="0"/>
    <x v="1"/>
    <x v="2"/>
    <n v="10"/>
    <n v="66.459999999999994"/>
    <x v="0"/>
  </r>
  <r>
    <s v="BKG00035"/>
    <x v="137"/>
    <x v="0"/>
    <x v="2"/>
    <n v="10"/>
    <n v="54.98"/>
    <x v="0"/>
  </r>
  <r>
    <s v="BKG00143"/>
    <x v="138"/>
    <x v="1"/>
    <x v="0"/>
    <n v="8"/>
    <n v="63.07"/>
    <x v="1"/>
  </r>
  <r>
    <s v="BKG00024"/>
    <x v="139"/>
    <x v="1"/>
    <x v="0"/>
    <n v="5.56"/>
    <n v="84.11"/>
    <x v="1"/>
  </r>
  <r>
    <s v="BKG00169"/>
    <x v="104"/>
    <x v="1"/>
    <x v="0"/>
    <n v="10"/>
    <n v="63.67"/>
    <x v="3"/>
  </r>
  <r>
    <s v="BKG00261"/>
    <x v="140"/>
    <x v="1"/>
    <x v="1"/>
    <n v="2"/>
    <n v="76.61"/>
    <x v="0"/>
  </r>
  <r>
    <s v="BKG00288"/>
    <x v="0"/>
    <x v="0"/>
    <x v="0"/>
    <n v="7"/>
    <n v="53.04"/>
    <x v="0"/>
  </r>
  <r>
    <s v="BKG00069"/>
    <x v="66"/>
    <x v="0"/>
    <x v="0"/>
    <n v="3"/>
    <n v="50.72"/>
    <x v="0"/>
  </r>
  <r>
    <s v="BKG00050"/>
    <x v="141"/>
    <x v="1"/>
    <x v="1"/>
    <n v="6"/>
    <n v="80.11"/>
    <x v="1"/>
  </r>
  <r>
    <s v="BKG00278"/>
    <x v="142"/>
    <x v="0"/>
    <x v="0"/>
    <n v="8"/>
    <n v="82.33"/>
    <x v="0"/>
  </r>
  <r>
    <s v="BKG00007"/>
    <x v="143"/>
    <x v="1"/>
    <x v="0"/>
    <n v="3"/>
    <n v="69.52"/>
    <x v="0"/>
  </r>
  <r>
    <s v="BKG00020"/>
    <x v="144"/>
    <x v="0"/>
    <x v="2"/>
    <n v="5"/>
    <n v="49.47"/>
    <x v="1"/>
  </r>
  <r>
    <s v="BKG00168"/>
    <x v="145"/>
    <x v="1"/>
    <x v="1"/>
    <n v="5.56"/>
    <n v="81.010000000000005"/>
    <x v="0"/>
  </r>
  <r>
    <s v="BKG00156"/>
    <x v="94"/>
    <x v="1"/>
    <x v="2"/>
    <n v="6"/>
    <n v="63.39"/>
    <x v="0"/>
  </r>
  <r>
    <s v="BKG00256"/>
    <x v="146"/>
    <x v="1"/>
    <x v="0"/>
    <n v="2"/>
    <n v="63.46"/>
    <x v="0"/>
  </r>
  <r>
    <s v="BKG00166"/>
    <x v="147"/>
    <x v="1"/>
    <x v="2"/>
    <n v="2"/>
    <n v="75.22"/>
    <x v="0"/>
  </r>
  <r>
    <s v="BKG00066"/>
    <x v="148"/>
    <x v="3"/>
    <x v="0"/>
    <n v="7"/>
    <n v="106.46"/>
    <x v="2"/>
  </r>
  <r>
    <s v="BKG00287"/>
    <x v="7"/>
    <x v="1"/>
    <x v="0"/>
    <n v="2"/>
    <n v="85.98"/>
    <x v="1"/>
  </r>
  <r>
    <s v="BKG00074"/>
    <x v="0"/>
    <x v="0"/>
    <x v="0"/>
    <n v="9"/>
    <n v="41.41"/>
    <x v="2"/>
  </r>
  <r>
    <s v="BKG00274"/>
    <x v="149"/>
    <x v="2"/>
    <x v="1"/>
    <n v="3"/>
    <n v="127.67"/>
    <x v="1"/>
  </r>
  <r>
    <s v="BKG00244"/>
    <x v="143"/>
    <x v="1"/>
    <x v="0"/>
    <n v="9"/>
    <n v="65.08"/>
    <x v="2"/>
  </r>
  <r>
    <s v="BKG00211"/>
    <x v="150"/>
    <x v="3"/>
    <x v="0"/>
    <n v="8"/>
    <n v="108.72"/>
    <x v="2"/>
  </r>
  <r>
    <s v="BKG00085"/>
    <x v="151"/>
    <x v="1"/>
    <x v="0"/>
    <n v="4"/>
    <n v="69.75"/>
    <x v="0"/>
  </r>
  <r>
    <s v="BKG00144"/>
    <x v="152"/>
    <x v="3"/>
    <x v="2"/>
    <n v="4"/>
    <n v="103.04"/>
    <x v="1"/>
  </r>
  <r>
    <s v="BKG00098"/>
    <x v="65"/>
    <x v="0"/>
    <x v="1"/>
    <n v="3"/>
    <n v="41.84"/>
    <x v="1"/>
  </r>
  <r>
    <s v="BKG00216"/>
    <x v="153"/>
    <x v="0"/>
    <x v="0"/>
    <n v="8"/>
    <n v="41.4"/>
    <x v="1"/>
  </r>
  <r>
    <s v="BKG00263"/>
    <x v="154"/>
    <x v="0"/>
    <x v="0"/>
    <n v="2"/>
    <n v="44.31"/>
    <x v="2"/>
  </r>
  <r>
    <s v="BKG00237"/>
    <x v="155"/>
    <x v="1"/>
    <x v="2"/>
    <n v="8"/>
    <n v="65.81"/>
    <x v="1"/>
  </r>
  <r>
    <s v="BKG00108"/>
    <x v="156"/>
    <x v="3"/>
    <x v="1"/>
    <n v="4"/>
    <n v="115.99"/>
    <x v="0"/>
  </r>
  <r>
    <s v="BKG00220"/>
    <x v="7"/>
    <x v="0"/>
    <x v="1"/>
    <n v="9"/>
    <n v="51.68"/>
    <x v="1"/>
  </r>
  <r>
    <s v="BKG00197"/>
    <x v="157"/>
    <x v="3"/>
    <x v="1"/>
    <n v="1"/>
    <n v="107.33"/>
    <x v="0"/>
  </r>
  <r>
    <s v="BKG00250"/>
    <x v="158"/>
    <x v="1"/>
    <x v="0"/>
    <n v="7"/>
    <n v="75.739999999999995"/>
    <x v="1"/>
  </r>
  <r>
    <s v="BKG00239"/>
    <x v="113"/>
    <x v="0"/>
    <x v="1"/>
    <n v="3"/>
    <n v="52.88"/>
    <x v="1"/>
  </r>
  <r>
    <s v="BKG00249"/>
    <x v="159"/>
    <x v="1"/>
    <x v="0"/>
    <n v="2"/>
    <n v="63.43"/>
    <x v="0"/>
  </r>
  <r>
    <s v="BKG00264"/>
    <x v="160"/>
    <x v="0"/>
    <x v="2"/>
    <n v="1"/>
    <n v="52.92"/>
    <x v="2"/>
  </r>
  <r>
    <s v="BKG00246"/>
    <x v="62"/>
    <x v="0"/>
    <x v="1"/>
    <n v="9"/>
    <n v="40.840000000000003"/>
    <x v="2"/>
  </r>
  <r>
    <s v="BKG00052"/>
    <x v="161"/>
    <x v="1"/>
    <x v="0"/>
    <n v="2"/>
    <n v="76.41"/>
    <x v="0"/>
  </r>
  <r>
    <s v="BKG00227"/>
    <x v="162"/>
    <x v="0"/>
    <x v="1"/>
    <n v="4"/>
    <n v="45.32"/>
    <x v="2"/>
  </r>
  <r>
    <s v="BKG00090"/>
    <x v="0"/>
    <x v="1"/>
    <x v="0"/>
    <n v="4"/>
    <n v="68.069999999999993"/>
    <x v="2"/>
  </r>
  <r>
    <s v="BKG00109"/>
    <x v="163"/>
    <x v="3"/>
    <x v="0"/>
    <n v="5.56"/>
    <n v="114.69"/>
    <x v="0"/>
  </r>
  <r>
    <s v="BKG00205"/>
    <x v="148"/>
    <x v="3"/>
    <x v="2"/>
    <n v="9"/>
    <n v="76.61"/>
    <x v="1"/>
  </r>
  <r>
    <s v="BKG00145"/>
    <x v="164"/>
    <x v="0"/>
    <x v="0"/>
    <n v="5.56"/>
    <n v="48.55"/>
    <x v="0"/>
  </r>
  <r>
    <s v="BKG00280"/>
    <x v="109"/>
    <x v="0"/>
    <x v="0"/>
    <n v="3"/>
    <n v="50.56"/>
    <x v="2"/>
  </r>
  <r>
    <s v="BKG00114"/>
    <x v="22"/>
    <x v="0"/>
    <x v="1"/>
    <n v="4"/>
    <n v="53.79"/>
    <x v="0"/>
  </r>
  <r>
    <s v="BKG00242"/>
    <x v="93"/>
    <x v="0"/>
    <x v="0"/>
    <n v="7"/>
    <n v="48.04"/>
    <x v="0"/>
  </r>
  <r>
    <s v="BKG00041"/>
    <x v="165"/>
    <x v="0"/>
    <x v="2"/>
    <n v="9"/>
    <n v="49.1"/>
    <x v="0"/>
  </r>
  <r>
    <s v="BKG00021"/>
    <x v="101"/>
    <x v="0"/>
    <x v="0"/>
    <n v="10"/>
    <n v="48.09"/>
    <x v="0"/>
  </r>
  <r>
    <s v="BKG00089"/>
    <x v="166"/>
    <x v="0"/>
    <x v="0"/>
    <n v="1"/>
    <n v="42.32"/>
    <x v="3"/>
  </r>
  <r>
    <s v="BKG00206"/>
    <x v="161"/>
    <x v="0"/>
    <x v="1"/>
    <n v="10"/>
    <n v="48.58"/>
    <x v="3"/>
  </r>
  <r>
    <s v="BKG00132"/>
    <x v="167"/>
    <x v="3"/>
    <x v="1"/>
    <n v="5"/>
    <n v="117.53"/>
    <x v="3"/>
  </r>
  <r>
    <s v="BKG00101"/>
    <x v="168"/>
    <x v="3"/>
    <x v="2"/>
    <n v="8"/>
    <n v="89.44"/>
    <x v="0"/>
  </r>
  <r>
    <s v="BKG00157"/>
    <x v="169"/>
    <x v="2"/>
    <x v="2"/>
    <n v="1"/>
    <n v="108.44"/>
    <x v="0"/>
  </r>
  <r>
    <s v="BKG00124"/>
    <x v="170"/>
    <x v="0"/>
    <x v="2"/>
    <n v="3"/>
    <n v="40.57"/>
    <x v="0"/>
  </r>
  <r>
    <s v="BKG00176"/>
    <x v="0"/>
    <x v="3"/>
    <x v="2"/>
    <n v="1"/>
    <n v="118.71"/>
    <x v="0"/>
  </r>
  <r>
    <s v="BKG00272"/>
    <x v="171"/>
    <x v="3"/>
    <x v="2"/>
    <n v="3"/>
    <n v="105.56"/>
    <x v="0"/>
  </r>
  <r>
    <s v="BKG00026"/>
    <x v="172"/>
    <x v="0"/>
    <x v="0"/>
    <n v="5.56"/>
    <n v="40.92"/>
    <x v="0"/>
  </r>
  <r>
    <s v="BKG00282"/>
    <x v="130"/>
    <x v="2"/>
    <x v="1"/>
    <n v="1"/>
    <n v="134.58000000000001"/>
    <x v="0"/>
  </r>
  <r>
    <s v="BKG00218"/>
    <x v="173"/>
    <x v="0"/>
    <x v="2"/>
    <n v="8"/>
    <n v="47.66"/>
    <x v="2"/>
  </r>
  <r>
    <s v="BKG00015"/>
    <x v="174"/>
    <x v="2"/>
    <x v="2"/>
    <n v="5"/>
    <n v="148.55000000000001"/>
    <x v="0"/>
  </r>
  <r>
    <s v="BKG00032"/>
    <x v="175"/>
    <x v="2"/>
    <x v="0"/>
    <n v="2"/>
    <n v="120.65"/>
    <x v="2"/>
  </r>
  <r>
    <s v="BKG00023"/>
    <x v="106"/>
    <x v="2"/>
    <x v="2"/>
    <n v="7"/>
    <n v="141.58000000000001"/>
    <x v="2"/>
  </r>
  <r>
    <s v="BKG00012"/>
    <x v="176"/>
    <x v="3"/>
    <x v="0"/>
    <n v="7"/>
    <n v="94.56"/>
    <x v="2"/>
  </r>
  <r>
    <s v="BKG00200"/>
    <x v="177"/>
    <x v="3"/>
    <x v="0"/>
    <n v="7"/>
    <n v="116.36"/>
    <x v="1"/>
  </r>
  <r>
    <s v="BKG00046"/>
    <x v="178"/>
    <x v="0"/>
    <x v="1"/>
    <n v="5.56"/>
    <n v="42.79"/>
    <x v="0"/>
  </r>
  <r>
    <s v="BKG00215"/>
    <x v="179"/>
    <x v="2"/>
    <x v="1"/>
    <n v="9"/>
    <n v="126.97"/>
    <x v="2"/>
  </r>
  <r>
    <s v="BKG00081"/>
    <x v="180"/>
    <x v="0"/>
    <x v="0"/>
    <n v="9"/>
    <n v="55.82"/>
    <x v="0"/>
  </r>
  <r>
    <s v="BKG00243"/>
    <x v="161"/>
    <x v="0"/>
    <x v="2"/>
    <n v="8"/>
    <n v="48.91"/>
    <x v="0"/>
  </r>
  <r>
    <s v="BKG00224"/>
    <x v="181"/>
    <x v="0"/>
    <x v="0"/>
    <n v="5"/>
    <n v="51.27"/>
    <x v="1"/>
  </r>
  <r>
    <s v="BKG00232"/>
    <x v="182"/>
    <x v="3"/>
    <x v="0"/>
    <n v="3"/>
    <n v="113.27"/>
    <x v="2"/>
  </r>
  <r>
    <s v="BKG00079"/>
    <x v="183"/>
    <x v="0"/>
    <x v="0"/>
    <n v="6"/>
    <n v="48.61"/>
    <x v="0"/>
  </r>
  <r>
    <s v="BKG00213"/>
    <x v="165"/>
    <x v="1"/>
    <x v="0"/>
    <n v="9"/>
    <n v="69.849999999999994"/>
    <x v="1"/>
  </r>
  <r>
    <s v="BKG00045"/>
    <x v="11"/>
    <x v="0"/>
    <x v="2"/>
    <n v="4"/>
    <n v="54.29"/>
    <x v="0"/>
  </r>
  <r>
    <s v="BKG00027"/>
    <x v="148"/>
    <x v="2"/>
    <x v="2"/>
    <n v="10"/>
    <n v="133.09"/>
    <x v="0"/>
  </r>
  <r>
    <s v="BKG00235"/>
    <x v="184"/>
    <x v="2"/>
    <x v="2"/>
    <n v="8"/>
    <n v="148.56"/>
    <x v="3"/>
  </r>
  <r>
    <s v="BKG00134"/>
    <x v="185"/>
    <x v="2"/>
    <x v="1"/>
    <n v="7"/>
    <n v="115.5"/>
    <x v="0"/>
  </r>
  <r>
    <s v="BKG00277"/>
    <x v="69"/>
    <x v="1"/>
    <x v="1"/>
    <n v="2"/>
    <n v="64.930000000000007"/>
    <x v="0"/>
  </r>
  <r>
    <s v="BKG00095"/>
    <x v="186"/>
    <x v="1"/>
    <x v="2"/>
    <n v="10"/>
    <n v="79.599999999999994"/>
    <x v="0"/>
  </r>
  <r>
    <s v="BKG00123"/>
    <x v="187"/>
    <x v="0"/>
    <x v="2"/>
    <n v="7"/>
    <n v="47.43"/>
    <x v="0"/>
  </r>
  <r>
    <s v="BKG00259"/>
    <x v="145"/>
    <x v="0"/>
    <x v="0"/>
    <n v="3"/>
    <n v="47.39"/>
    <x v="1"/>
  </r>
  <r>
    <s v="BKG00028"/>
    <x v="188"/>
    <x v="0"/>
    <x v="0"/>
    <n v="9"/>
    <n v="51.16"/>
    <x v="2"/>
  </r>
  <r>
    <s v="BKG00209"/>
    <x v="189"/>
    <x v="0"/>
    <x v="0"/>
    <n v="3"/>
    <n v="50.3"/>
    <x v="0"/>
  </r>
  <r>
    <s v="BKG00092"/>
    <x v="190"/>
    <x v="0"/>
    <x v="2"/>
    <n v="8"/>
    <n v="54.36"/>
    <x v="1"/>
  </r>
  <r>
    <s v="BKG00044"/>
    <x v="191"/>
    <x v="0"/>
    <x v="0"/>
    <n v="1"/>
    <n v="51.61"/>
    <x v="1"/>
  </r>
  <r>
    <s v="BKG00077"/>
    <x v="192"/>
    <x v="0"/>
    <x v="2"/>
    <n v="5"/>
    <n v="64.430000000000007"/>
    <x v="3"/>
  </r>
  <r>
    <s v="BKG00234"/>
    <x v="193"/>
    <x v="0"/>
    <x v="0"/>
    <n v="6"/>
    <n v="52.55"/>
    <x v="0"/>
  </r>
  <r>
    <s v="BKG00003"/>
    <x v="109"/>
    <x v="0"/>
    <x v="0"/>
    <n v="7"/>
    <n v="51.82"/>
    <x v="1"/>
  </r>
  <r>
    <s v="BKG00158"/>
    <x v="57"/>
    <x v="0"/>
    <x v="2"/>
    <n v="8"/>
    <n v="52.44"/>
    <x v="0"/>
  </r>
  <r>
    <s v="BKG00039"/>
    <x v="112"/>
    <x v="0"/>
    <x v="2"/>
    <n v="1"/>
    <n v="52.32"/>
    <x v="0"/>
  </r>
  <r>
    <s v="BKG00113"/>
    <x v="194"/>
    <x v="0"/>
    <x v="2"/>
    <n v="9"/>
    <n v="45.12"/>
    <x v="2"/>
  </r>
  <r>
    <s v="BKG00112"/>
    <x v="89"/>
    <x v="3"/>
    <x v="2"/>
    <n v="4"/>
    <n v="93.77"/>
    <x v="0"/>
  </r>
  <r>
    <s v="MISSING-002"/>
    <x v="195"/>
    <x v="2"/>
    <x v="2"/>
    <n v="4"/>
    <n v="115.92"/>
    <x v="0"/>
  </r>
  <r>
    <s v="MISSING-003"/>
    <x v="196"/>
    <x v="0"/>
    <x v="0"/>
    <n v="5"/>
    <n v="42.32"/>
    <x v="0"/>
  </r>
  <r>
    <s v="MISSING-004"/>
    <x v="10"/>
    <x v="0"/>
    <x v="0"/>
    <n v="9"/>
    <n v="51.81"/>
    <x v="0"/>
  </r>
  <r>
    <s v="MISSING-017"/>
    <x v="197"/>
    <x v="1"/>
    <x v="2"/>
    <n v="4"/>
    <n v="64.97"/>
    <x v="0"/>
  </r>
  <r>
    <s v="MISSING-005"/>
    <x v="198"/>
    <x v="1"/>
    <x v="0"/>
    <n v="6"/>
    <n v="67.040000000000006"/>
    <x v="2"/>
  </r>
  <r>
    <s v="MISSING-018"/>
    <x v="199"/>
    <x v="0"/>
    <x v="2"/>
    <n v="7"/>
    <n v="53.26"/>
    <x v="0"/>
  </r>
  <r>
    <s v="MISSING-006"/>
    <x v="120"/>
    <x v="1"/>
    <x v="0"/>
    <n v="3"/>
    <n v="79.02"/>
    <x v="1"/>
  </r>
  <r>
    <s v="MISSING-019"/>
    <x v="200"/>
    <x v="1"/>
    <x v="0"/>
    <n v="1"/>
    <n v="67.11"/>
    <x v="0"/>
  </r>
  <r>
    <s v="MISSING-007"/>
    <x v="201"/>
    <x v="0"/>
    <x v="0"/>
    <n v="2"/>
    <n v="42.04"/>
    <x v="0"/>
  </r>
  <r>
    <s v="MISSING-020"/>
    <x v="113"/>
    <x v="0"/>
    <x v="0"/>
    <n v="10"/>
    <n v="54.4"/>
    <x v="1"/>
  </r>
  <r>
    <s v="MISSING-008"/>
    <x v="202"/>
    <x v="2"/>
    <x v="0"/>
    <n v="5"/>
    <n v="137.11000000000001"/>
    <x v="3"/>
  </r>
  <r>
    <s v="MISSING-021"/>
    <x v="203"/>
    <x v="1"/>
    <x v="0"/>
    <n v="7"/>
    <n v="85.32"/>
    <x v="0"/>
  </r>
  <r>
    <s v="MISSING-009"/>
    <x v="160"/>
    <x v="3"/>
    <x v="0"/>
    <n v="1"/>
    <n v="96.26"/>
    <x v="1"/>
  </r>
  <r>
    <s v="MISSING-010"/>
    <x v="204"/>
    <x v="3"/>
    <x v="1"/>
    <n v="9"/>
    <n v="109.76"/>
    <x v="2"/>
  </r>
  <r>
    <s v="MISSING-010"/>
    <x v="187"/>
    <x v="3"/>
    <x v="0"/>
    <n v="8"/>
    <n v="99.22"/>
    <x v="0"/>
  </r>
  <r>
    <s v="MISSING-011"/>
    <x v="205"/>
    <x v="1"/>
    <x v="2"/>
    <n v="7"/>
    <n v="75.13"/>
    <x v="1"/>
  </r>
  <r>
    <s v="MISSING-012"/>
    <x v="206"/>
    <x v="1"/>
    <x v="2"/>
    <n v="4"/>
    <n v="76.61"/>
    <x v="0"/>
  </r>
  <r>
    <s v="MISSING-011"/>
    <x v="207"/>
    <x v="0"/>
    <x v="2"/>
    <n v="5"/>
    <n v="48.97"/>
    <x v="1"/>
  </r>
  <r>
    <s v="MISSING-022"/>
    <x v="188"/>
    <x v="2"/>
    <x v="2"/>
    <n v="2"/>
    <n v="76.61"/>
    <x v="1"/>
  </r>
  <r>
    <s v="MISSING-012"/>
    <x v="208"/>
    <x v="3"/>
    <x v="0"/>
    <n v="9"/>
    <n v="106.74"/>
    <x v="0"/>
  </r>
  <r>
    <s v="MISSING-023"/>
    <x v="155"/>
    <x v="2"/>
    <x v="0"/>
    <n v="1"/>
    <n v="143.81"/>
    <x v="0"/>
  </r>
  <r>
    <s v="MISSING-013"/>
    <x v="62"/>
    <x v="3"/>
    <x v="2"/>
    <n v="1"/>
    <n v="87.07"/>
    <x v="1"/>
  </r>
  <r>
    <s v="MISSING-024"/>
    <x v="46"/>
    <x v="0"/>
    <x v="2"/>
    <n v="8"/>
    <n v="55.31"/>
    <x v="0"/>
  </r>
  <r>
    <s v="MISSING-014"/>
    <x v="126"/>
    <x v="3"/>
    <x v="0"/>
    <n v="5"/>
    <n v="105.12"/>
    <x v="0"/>
  </r>
  <r>
    <s v="MISSING-015"/>
    <x v="111"/>
    <x v="2"/>
    <x v="0"/>
    <n v="1"/>
    <n v="130.31"/>
    <x v="0"/>
  </r>
  <r>
    <s v="MISSING-015"/>
    <x v="209"/>
    <x v="1"/>
    <x v="0"/>
    <n v="7"/>
    <n v="85.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C6F2F-E6C3-4E79-A22B-B574D6034DDA}"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28:K33"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numFmtId="2" showAll="0"/>
    <pivotField axis="axisRow" dataField="1" showAll="0">
      <items count="5">
        <item x="2"/>
        <item x="0"/>
        <item x="1"/>
        <item x="3"/>
        <item t="default"/>
      </items>
    </pivotField>
  </pivotFields>
  <rowFields count="1">
    <field x="6"/>
  </rowFields>
  <rowItems count="5">
    <i>
      <x/>
    </i>
    <i>
      <x v="1"/>
    </i>
    <i>
      <x v="2"/>
    </i>
    <i>
      <x v="3"/>
    </i>
    <i t="grand">
      <x/>
    </i>
  </rowItems>
  <colItems count="1">
    <i/>
  </colItems>
  <dataFields count="1">
    <dataField name="Count of Booking_Status" fld="6" subtotal="count" baseField="6" baseItem="0"/>
  </dataFields>
  <formats count="3">
    <format dxfId="2">
      <pivotArea field="6" type="button" dataOnly="0" labelOnly="1" outline="0" axis="axisRow" fieldPosition="0"/>
    </format>
    <format dxfId="1">
      <pivotArea dataOnly="0" labelOnly="1" outline="0" axis="axisValues" fieldPosition="0"/>
    </format>
    <format dxfId="0">
      <pivotArea dataOnly="0" grandRow="1" axis="axisRow" fieldPosition="0"/>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8E773-63CC-4526-B877-F7770B167825}"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8:B30" firstHeaderRow="1" firstDataRow="1" firstDataCol="1"/>
  <pivotFields count="7">
    <pivotField showAll="0"/>
    <pivotField showAll="0"/>
    <pivotField showAll="0">
      <items count="5">
        <item x="1"/>
        <item x="3"/>
        <item x="0"/>
        <item x="2"/>
        <item t="default"/>
      </items>
    </pivotField>
    <pivotField axis="axisRow" showAll="0">
      <items count="4">
        <item x="1"/>
        <item h="1" x="0"/>
        <item h="1" x="2"/>
        <item t="default"/>
      </items>
    </pivotField>
    <pivotField dataField="1" showAll="0"/>
    <pivotField numFmtId="2" showAll="0"/>
    <pivotField showAll="0">
      <items count="5">
        <item x="2"/>
        <item x="0"/>
        <item x="1"/>
        <item x="3"/>
        <item t="default"/>
      </items>
    </pivotField>
  </pivotFields>
  <rowFields count="1">
    <field x="3"/>
  </rowFields>
  <rowItems count="2">
    <i>
      <x/>
    </i>
    <i t="grand">
      <x/>
    </i>
  </rowItems>
  <colItems count="1">
    <i/>
  </colItems>
  <dataFields count="1">
    <dataField name="Average of Nights" fld="4" subtotal="average" baseField="3" baseItem="0" numFmtId="2"/>
  </dataFields>
  <formats count="5">
    <format dxfId="7">
      <pivotArea outline="0" collapsedLevelsAreSubtotals="1" fieldPosition="0"/>
    </format>
    <format dxfId="6">
      <pivotArea dataOnly="0" outline="0" axis="axisValues" fieldPosition="0"/>
    </format>
    <format dxfId="5">
      <pivotArea field="3" type="button" dataOnly="0" labelOnly="1" outline="0" axis="axisRow" fieldPosition="0"/>
    </format>
    <format dxfId="4">
      <pivotArea grandRow="1" outline="0" collapsedLevelsAreSubtotals="1" fieldPosition="0"/>
    </format>
    <format dxfId="3">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4FDC43-07B6-4BA0-BFC5-DB80B22D01C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B12"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numFmtId="2" showAll="0"/>
    <pivotField axis="axisRow" dataField="1" showAll="0">
      <items count="5">
        <item x="2"/>
        <item x="0"/>
        <item x="1"/>
        <item x="3"/>
        <item t="default"/>
      </items>
    </pivotField>
  </pivotFields>
  <rowFields count="1">
    <field x="6"/>
  </rowFields>
  <rowItems count="5">
    <i>
      <x/>
    </i>
    <i>
      <x v="1"/>
    </i>
    <i>
      <x v="2"/>
    </i>
    <i>
      <x v="3"/>
    </i>
    <i t="grand">
      <x/>
    </i>
  </rowItems>
  <colItems count="1">
    <i/>
  </colItems>
  <dataFields count="1">
    <dataField name="Count of Booking_Status" fld="6" subtotal="count" baseField="0" baseItem="0"/>
  </dataFields>
  <formats count="4">
    <format dxfId="11">
      <pivotArea dataOnly="0" labelOnly="1" outline="0" axis="axisValues" fieldPosition="0"/>
    </format>
    <format dxfId="10">
      <pivotArea field="6" type="button" dataOnly="0" labelOnly="1" outline="0" axis="axisRow" fieldPosition="0"/>
    </format>
    <format dxfId="9">
      <pivotArea grandRow="1" outline="0" collapsedLevelsAreSubtotals="1" fieldPosition="0"/>
    </format>
    <format dxfId="8">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86B53-D90F-4C3A-8B86-7A45809894A9}"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9:B44"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dataField="1" numFmtId="2" showAll="0"/>
    <pivotField axis="axisRow" showAll="0">
      <items count="5">
        <item x="2"/>
        <item x="0"/>
        <item x="1"/>
        <item x="3"/>
        <item t="default"/>
      </items>
    </pivotField>
  </pivotFields>
  <rowFields count="1">
    <field x="6"/>
  </rowFields>
  <rowItems count="5">
    <i>
      <x/>
    </i>
    <i>
      <x v="1"/>
    </i>
    <i>
      <x v="2"/>
    </i>
    <i>
      <x v="3"/>
    </i>
    <i t="grand">
      <x/>
    </i>
  </rowItems>
  <colItems count="1">
    <i/>
  </colItems>
  <dataFields count="1">
    <dataField name="Sum of Room_Rate" fld="5" baseField="6" baseItem="0" numFmtId="1"/>
  </dataFields>
  <formats count="4">
    <format dxfId="15">
      <pivotArea field="6" type="button" dataOnly="0" labelOnly="1" outline="0" axis="axisRow" fieldPosition="0"/>
    </format>
    <format dxfId="14">
      <pivotArea dataOnly="0" labelOnly="1" outline="0" axis="axisValues" fieldPosition="0"/>
    </format>
    <format dxfId="13">
      <pivotArea field="6" dataOnly="0" grandRow="1" axis="axisRow" fieldPosition="0">
        <references count="1">
          <reference field="6" count="1">
            <x v="3"/>
          </reference>
        </references>
      </pivotArea>
    </format>
    <format dxfId="1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4"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1D693C-7855-4F02-8975-4F59BC651F7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8:K23" firstHeaderRow="1" firstDataRow="1" firstDataCol="1"/>
  <pivotFields count="7">
    <pivotField showAll="0"/>
    <pivotField showAll="0"/>
    <pivotField axis="axisRow" showAll="0">
      <items count="5">
        <item x="1"/>
        <item x="3"/>
        <item x="0"/>
        <item x="2"/>
        <item t="default"/>
      </items>
    </pivotField>
    <pivotField showAll="0">
      <items count="4">
        <item x="1"/>
        <item h="1" x="0"/>
        <item h="1" x="2"/>
        <item t="default"/>
      </items>
    </pivotField>
    <pivotField showAll="0"/>
    <pivotField dataField="1" numFmtId="2" showAll="0"/>
    <pivotField showAll="0">
      <items count="5">
        <item x="2"/>
        <item x="0"/>
        <item x="1"/>
        <item x="3"/>
        <item t="default"/>
      </items>
    </pivotField>
  </pivotFields>
  <rowFields count="1">
    <field x="2"/>
  </rowFields>
  <rowItems count="5">
    <i>
      <x/>
    </i>
    <i>
      <x v="1"/>
    </i>
    <i>
      <x v="2"/>
    </i>
    <i>
      <x v="3"/>
    </i>
    <i t="grand">
      <x/>
    </i>
  </rowItems>
  <colItems count="1">
    <i/>
  </colItems>
  <dataFields count="1">
    <dataField name="Average of Room_Rate" fld="5" subtotal="average" baseField="2" baseItem="0" numFmtId="166"/>
  </dataFields>
  <formats count="4">
    <format dxfId="19">
      <pivotArea outline="0" collapsedLevelsAreSubtotals="1" fieldPosition="0"/>
    </format>
    <format dxfId="18">
      <pivotArea field="2" type="button" dataOnly="0" labelOnly="1" outline="0" axis="axisRow" fieldPosition="0"/>
    </format>
    <format dxfId="17">
      <pivotArea dataOnly="0" labelOnly="1" outline="0" axis="axisValues" fieldPosition="0"/>
    </format>
    <format dxfId="16">
      <pivotArea dataOnly="0" grandRow="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F2B873-B235-4287-AC4B-7F904EBF3A35}"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B21" firstHeaderRow="1" firstDataRow="1" firstDataCol="1"/>
  <pivotFields count="7">
    <pivotField showAll="0"/>
    <pivotField showAll="0"/>
    <pivotField showAll="0">
      <items count="5">
        <item x="1"/>
        <item x="3"/>
        <item x="0"/>
        <item x="2"/>
        <item t="default"/>
      </items>
    </pivotField>
    <pivotField axis="axisRow" dataField="1" showAll="0">
      <items count="4">
        <item x="1"/>
        <item h="1" x="0"/>
        <item h="1" x="2"/>
        <item t="default"/>
      </items>
    </pivotField>
    <pivotField showAll="0"/>
    <pivotField numFmtId="2" showAll="0"/>
    <pivotField showAll="0">
      <items count="5">
        <item x="2"/>
        <item x="0"/>
        <item x="1"/>
        <item x="3"/>
        <item t="default"/>
      </items>
    </pivotField>
  </pivotFields>
  <rowFields count="1">
    <field x="3"/>
  </rowFields>
  <rowItems count="2">
    <i>
      <x/>
    </i>
    <i t="grand">
      <x/>
    </i>
  </rowItems>
  <colItems count="1">
    <i/>
  </colItems>
  <dataFields count="1">
    <dataField name="Count of Customer_Type" fld="3" subtotal="count" baseField="0" baseItem="0"/>
  </dataFields>
  <formats count="4">
    <format dxfId="23">
      <pivotArea dataOnly="0" labelOnly="1" outline="0" axis="axisValues" fieldPosition="0"/>
    </format>
    <format dxfId="22">
      <pivotArea field="3" type="button" dataOnly="0" labelOnly="1" outline="0" axis="axisRow" fieldPosition="0"/>
    </format>
    <format dxfId="21">
      <pivotArea grandRow="1" outline="0" collapsedLevelsAreSubtotals="1" fieldPosition="0"/>
    </format>
    <format dxfId="20">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37CB51-436E-4888-9B95-E6861C5B783E}"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50:B55" firstHeaderRow="1" firstDataRow="1" firstDataCol="1"/>
  <pivotFields count="7">
    <pivotField showAll="0"/>
    <pivotField showAll="0"/>
    <pivotField showAll="0">
      <items count="5">
        <item x="1"/>
        <item x="3"/>
        <item x="0"/>
        <item x="2"/>
        <item t="default"/>
      </items>
    </pivotField>
    <pivotField showAll="0">
      <items count="4">
        <item x="1"/>
        <item h="1" x="0"/>
        <item h="1" x="2"/>
        <item t="default"/>
      </items>
    </pivotField>
    <pivotField showAll="0"/>
    <pivotField dataField="1" numFmtId="2" showAll="0"/>
    <pivotField axis="axisRow" showAll="0">
      <items count="5">
        <item x="2"/>
        <item x="0"/>
        <item x="1"/>
        <item x="3"/>
        <item t="default"/>
      </items>
    </pivotField>
  </pivotFields>
  <rowFields count="1">
    <field x="6"/>
  </rowFields>
  <rowItems count="5">
    <i>
      <x/>
    </i>
    <i>
      <x v="1"/>
    </i>
    <i>
      <x v="2"/>
    </i>
    <i>
      <x v="3"/>
    </i>
    <i t="grand">
      <x/>
    </i>
  </rowItems>
  <colItems count="1">
    <i/>
  </colItems>
  <dataFields count="1">
    <dataField name="Sum of Room_Rate" fld="5" baseField="6" baseItem="0" numFmtId="1"/>
  </dataFields>
  <formats count="5">
    <format dxfId="28">
      <pivotArea field="6" type="button" dataOnly="0" labelOnly="1" outline="0" axis="axisRow" fieldPosition="0"/>
    </format>
    <format dxfId="27">
      <pivotArea dataOnly="0" labelOnly="1" outline="0" axis="axisValues" fieldPosition="0"/>
    </format>
    <format dxfId="26">
      <pivotArea grandRow="1" outline="0" collapsedLevelsAreSubtotals="1" fieldPosition="0"/>
    </format>
    <format dxfId="25">
      <pivotArea dataOnly="0" labelOnly="1" grandRow="1" outline="0" fieldPosition="0"/>
    </format>
    <format dxfId="2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0"/>
          </reference>
        </references>
      </pivotArea>
    </chartFormat>
    <chartFormat chart="4" format="12">
      <pivotArea type="data" outline="0" fieldPosition="0">
        <references count="2">
          <reference field="4294967294" count="1" selected="0">
            <x v="0"/>
          </reference>
          <reference field="6" count="1" selected="0">
            <x v="1"/>
          </reference>
        </references>
      </pivotArea>
    </chartFormat>
    <chartFormat chart="4" format="13">
      <pivotArea type="data" outline="0" fieldPosition="0">
        <references count="2">
          <reference field="4294967294" count="1" selected="0">
            <x v="0"/>
          </reference>
          <reference field="6" count="1" selected="0">
            <x v="2"/>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32F5C0-B92B-4ECD-9AEE-75D3F437ADCF}"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51:K53" firstHeaderRow="1" firstDataRow="1" firstDataCol="1"/>
  <pivotFields count="7">
    <pivotField showAll="0"/>
    <pivotField showAll="0"/>
    <pivotField showAll="0">
      <items count="5">
        <item x="1"/>
        <item x="3"/>
        <item x="0"/>
        <item x="2"/>
        <item t="default"/>
      </items>
    </pivotField>
    <pivotField axis="axisRow" showAll="0">
      <items count="4">
        <item x="1"/>
        <item h="1" x="0"/>
        <item h="1" x="2"/>
        <item t="default"/>
      </items>
    </pivotField>
    <pivotField dataField="1" showAll="0"/>
    <pivotField numFmtId="2" showAll="0"/>
    <pivotField showAll="0">
      <items count="5">
        <item x="2"/>
        <item x="0"/>
        <item x="1"/>
        <item x="3"/>
        <item t="default"/>
      </items>
    </pivotField>
  </pivotFields>
  <rowFields count="1">
    <field x="3"/>
  </rowFields>
  <rowItems count="2">
    <i>
      <x/>
    </i>
    <i t="grand">
      <x/>
    </i>
  </rowItems>
  <colItems count="1">
    <i/>
  </colItems>
  <dataFields count="1">
    <dataField name="Average of Nights" fld="4" subtotal="average" baseField="3" baseItem="0" numFmtId="2"/>
  </dataFields>
  <formats count="5">
    <format dxfId="33">
      <pivotArea field="3" type="button" dataOnly="0" labelOnly="1" outline="0" axis="axisRow" fieldPosition="0"/>
    </format>
    <format dxfId="32">
      <pivotArea dataOnly="0" labelOnly="1" outline="0" axis="axisValues" fieldPosition="0"/>
    </format>
    <format dxfId="31">
      <pivotArea grandRow="1" outline="0" collapsedLevelsAreSubtotals="1" fieldPosition="0"/>
    </format>
    <format dxfId="30">
      <pivotArea dataOnly="0" labelOnly="1" grandRow="1" outline="0" fieldPosition="0"/>
    </format>
    <format dxfId="2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14DE91-DF50-44F1-9C2D-6D2B9776F62E}"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9:K44" firstHeaderRow="1" firstDataRow="1" firstDataCol="1"/>
  <pivotFields count="7">
    <pivotField showAll="0"/>
    <pivotField showAll="0"/>
    <pivotField axis="axisRow" showAll="0">
      <items count="5">
        <item x="1"/>
        <item x="3"/>
        <item x="0"/>
        <item x="2"/>
        <item t="default"/>
      </items>
    </pivotField>
    <pivotField showAll="0">
      <items count="4">
        <item x="1"/>
        <item h="1" x="0"/>
        <item h="1" x="2"/>
        <item t="default"/>
      </items>
    </pivotField>
    <pivotField showAll="0"/>
    <pivotField dataField="1" numFmtId="2" showAll="0"/>
    <pivotField showAll="0">
      <items count="5">
        <item x="2"/>
        <item x="0"/>
        <item x="1"/>
        <item x="3"/>
        <item t="default"/>
      </items>
    </pivotField>
  </pivotFields>
  <rowFields count="1">
    <field x="2"/>
  </rowFields>
  <rowItems count="5">
    <i>
      <x/>
    </i>
    <i>
      <x v="1"/>
    </i>
    <i>
      <x v="2"/>
    </i>
    <i>
      <x v="3"/>
    </i>
    <i t="grand">
      <x/>
    </i>
  </rowItems>
  <colItems count="1">
    <i/>
  </colItems>
  <dataFields count="1">
    <dataField name="Average of Room_Rate" fld="5" subtotal="average" baseField="2" baseItem="0" numFmtId="2"/>
  </dataFields>
  <formats count="5">
    <format dxfId="38">
      <pivotArea grandRow="1" outline="0" collapsedLevelsAreSubtotals="1" fieldPosition="0"/>
    </format>
    <format dxfId="37">
      <pivotArea dataOnly="0" labelOnly="1" grandRow="1" outline="0" fieldPosition="0"/>
    </format>
    <format dxfId="36">
      <pivotArea field="2" type="button" dataOnly="0" labelOnly="1" outline="0" axis="axisRow" fieldPosition="0"/>
    </format>
    <format dxfId="35">
      <pivotArea dataOnly="0" labelOnly="1" outline="0" axis="axisValues" fieldPosition="0"/>
    </format>
    <format dxfId="34">
      <pivotArea outline="0" collapsedLevelsAreSubtotals="1" fieldPosition="0"/>
    </format>
  </formats>
  <chartFormats count="10">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2E5450-B232-41E8-82A2-5C6953DDD0A9}"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7:K12" firstHeaderRow="1" firstDataRow="1" firstDataCol="1"/>
  <pivotFields count="7">
    <pivotField showAll="0"/>
    <pivotField showAll="0">
      <items count="211">
        <item x="79"/>
        <item x="198"/>
        <item x="73"/>
        <item x="182"/>
        <item x="108"/>
        <item x="92"/>
        <item x="118"/>
        <item x="43"/>
        <item x="168"/>
        <item x="193"/>
        <item x="60"/>
        <item x="167"/>
        <item x="134"/>
        <item x="16"/>
        <item x="163"/>
        <item x="8"/>
        <item x="14"/>
        <item x="149"/>
        <item x="105"/>
        <item x="35"/>
        <item x="23"/>
        <item x="128"/>
        <item x="57"/>
        <item x="62"/>
        <item x="145"/>
        <item x="94"/>
        <item x="151"/>
        <item x="103"/>
        <item x="174"/>
        <item x="179"/>
        <item x="154"/>
        <item x="102"/>
        <item x="71"/>
        <item x="206"/>
        <item x="166"/>
        <item x="56"/>
        <item x="34"/>
        <item x="39"/>
        <item x="183"/>
        <item x="52"/>
        <item x="24"/>
        <item x="37"/>
        <item x="47"/>
        <item x="160"/>
        <item x="150"/>
        <item x="6"/>
        <item x="110"/>
        <item x="109"/>
        <item x="142"/>
        <item x="40"/>
        <item x="120"/>
        <item x="162"/>
        <item x="76"/>
        <item x="81"/>
        <item x="31"/>
        <item x="27"/>
        <item x="153"/>
        <item x="106"/>
        <item x="91"/>
        <item x="65"/>
        <item x="80"/>
        <item x="200"/>
        <item x="18"/>
        <item x="135"/>
        <item x="67"/>
        <item x="12"/>
        <item x="50"/>
        <item x="15"/>
        <item x="173"/>
        <item x="119"/>
        <item x="152"/>
        <item x="19"/>
        <item x="148"/>
        <item x="84"/>
        <item x="36"/>
        <item x="124"/>
        <item x="58"/>
        <item x="83"/>
        <item x="68"/>
        <item x="132"/>
        <item x="147"/>
        <item x="22"/>
        <item x="4"/>
        <item x="202"/>
        <item x="122"/>
        <item x="72"/>
        <item x="113"/>
        <item x="116"/>
        <item x="3"/>
        <item x="7"/>
        <item x="203"/>
        <item x="126"/>
        <item x="117"/>
        <item x="11"/>
        <item x="136"/>
        <item x="169"/>
        <item x="208"/>
        <item x="201"/>
        <item x="38"/>
        <item x="115"/>
        <item x="51"/>
        <item x="28"/>
        <item x="77"/>
        <item x="172"/>
        <item x="48"/>
        <item x="187"/>
        <item x="121"/>
        <item x="104"/>
        <item x="45"/>
        <item x="66"/>
        <item x="86"/>
        <item x="63"/>
        <item x="20"/>
        <item x="59"/>
        <item x="99"/>
        <item x="25"/>
        <item x="55"/>
        <item x="138"/>
        <item x="53"/>
        <item x="95"/>
        <item x="204"/>
        <item x="5"/>
        <item x="192"/>
        <item x="75"/>
        <item x="13"/>
        <item x="101"/>
        <item x="10"/>
        <item x="111"/>
        <item x="131"/>
        <item x="1"/>
        <item x="190"/>
        <item x="26"/>
        <item x="181"/>
        <item x="157"/>
        <item x="123"/>
        <item x="207"/>
        <item x="195"/>
        <item x="158"/>
        <item x="197"/>
        <item x="137"/>
        <item x="70"/>
        <item x="90"/>
        <item x="89"/>
        <item x="21"/>
        <item x="140"/>
        <item x="205"/>
        <item x="112"/>
        <item x="42"/>
        <item x="9"/>
        <item x="41"/>
        <item x="85"/>
        <item x="100"/>
        <item x="189"/>
        <item x="196"/>
        <item x="185"/>
        <item x="188"/>
        <item x="127"/>
        <item x="129"/>
        <item x="199"/>
        <item x="159"/>
        <item x="155"/>
        <item x="96"/>
        <item x="194"/>
        <item x="184"/>
        <item x="32"/>
        <item x="176"/>
        <item x="2"/>
        <item x="133"/>
        <item x="64"/>
        <item x="143"/>
        <item x="114"/>
        <item x="97"/>
        <item x="30"/>
        <item x="178"/>
        <item x="44"/>
        <item x="161"/>
        <item x="33"/>
        <item x="191"/>
        <item x="156"/>
        <item x="93"/>
        <item x="88"/>
        <item x="146"/>
        <item x="107"/>
        <item x="125"/>
        <item x="186"/>
        <item x="46"/>
        <item x="171"/>
        <item x="177"/>
        <item x="82"/>
        <item x="175"/>
        <item x="164"/>
        <item x="87"/>
        <item x="209"/>
        <item x="180"/>
        <item x="98"/>
        <item x="54"/>
        <item x="49"/>
        <item x="61"/>
        <item x="144"/>
        <item x="69"/>
        <item x="139"/>
        <item x="17"/>
        <item x="165"/>
        <item x="130"/>
        <item x="74"/>
        <item x="141"/>
        <item x="78"/>
        <item x="29"/>
        <item x="170"/>
        <item x="0"/>
        <item t="default"/>
      </items>
    </pivotField>
    <pivotField axis="axisRow" dataField="1" showAll="0">
      <items count="5">
        <item x="1"/>
        <item x="3"/>
        <item x="0"/>
        <item x="2"/>
        <item t="default"/>
      </items>
    </pivotField>
    <pivotField showAll="0">
      <items count="4">
        <item x="1"/>
        <item h="1" x="0"/>
        <item h="1" x="2"/>
        <item t="default"/>
      </items>
    </pivotField>
    <pivotField showAll="0"/>
    <pivotField numFmtId="2" showAll="0"/>
    <pivotField showAll="0">
      <items count="5">
        <item x="2"/>
        <item x="0"/>
        <item x="1"/>
        <item x="3"/>
        <item t="default"/>
      </items>
    </pivotField>
  </pivotFields>
  <rowFields count="1">
    <field x="2"/>
  </rowFields>
  <rowItems count="5">
    <i>
      <x/>
    </i>
    <i>
      <x v="1"/>
    </i>
    <i>
      <x v="2"/>
    </i>
    <i>
      <x v="3"/>
    </i>
    <i t="grand">
      <x/>
    </i>
  </rowItems>
  <colItems count="1">
    <i/>
  </colItems>
  <dataFields count="1">
    <dataField name="Count of Room_Type" fld="2" subtotal="count" baseField="0" baseItem="0"/>
  </dataFields>
  <formats count="3">
    <format dxfId="41">
      <pivotArea dataOnly="0" labelOnly="1" outline="0" axis="axisValues" fieldPosition="0"/>
    </format>
    <format dxfId="40">
      <pivotArea field="2" type="button" dataOnly="0" labelOnly="1" outline="0" axis="axisRow" fieldPosition="0"/>
    </format>
    <format dxfId="39">
      <pivotArea dataOnly="0" grandRow="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1" xr10:uid="{66C08983-2348-40A0-BB0E-2795CC3E2D2B}" sourceName="Booking_Status">
  <pivotTables>
    <pivotTable tabId="16" name="PivotTable9"/>
    <pivotTable tabId="16" name="PivotTable8"/>
    <pivotTable tabId="16" name="PivotTable7"/>
    <pivotTable tabId="16" name="PivotTable16"/>
    <pivotTable tabId="16" name="PivotTable17"/>
    <pivotTable tabId="16" name="PivotTable18"/>
    <pivotTable tabId="16" name="PivotTable10"/>
    <pivotTable tabId="16" name="PivotTable11"/>
    <pivotTable tabId="16" name="PivotTable13"/>
    <pivotTable tabId="16" name="PivotTable15"/>
  </pivotTables>
  <data>
    <tabular pivotCacheId="154352922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EEA7F4EF-FBCA-481A-BE93-329219AF5E34}" sourceName="Customer_Type">
  <pivotTables>
    <pivotTable tabId="16" name="PivotTable13"/>
    <pivotTable tabId="16" name="PivotTable11"/>
    <pivotTable tabId="16" name="PivotTable10"/>
    <pivotTable tabId="16" name="PivotTable9"/>
    <pivotTable tabId="16" name="PivotTable8"/>
    <pivotTable tabId="16" name="PivotTable7"/>
    <pivotTable tabId="16" name="PivotTable15"/>
    <pivotTable tabId="16" name="PivotTable16"/>
    <pivotTable tabId="16" name="PivotTable17"/>
    <pivotTable tabId="16" name="PivotTable18"/>
  </pivotTables>
  <data>
    <tabular pivotCacheId="1543529228">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1" xr10:uid="{74A17307-1357-41B0-A6D2-D5D55DE8A99F}" sourceName="Room_Type">
  <pivotTables>
    <pivotTable tabId="16" name="PivotTable13"/>
    <pivotTable tabId="16" name="PivotTable11"/>
    <pivotTable tabId="16" name="PivotTable10"/>
    <pivotTable tabId="16" name="PivotTable9"/>
    <pivotTable tabId="16" name="PivotTable8"/>
    <pivotTable tabId="16" name="PivotTable7"/>
    <pivotTable tabId="16" name="PivotTable15"/>
    <pivotTable tabId="16" name="PivotTable16"/>
    <pivotTable tabId="16" name="PivotTable17"/>
    <pivotTable tabId="16" name="PivotTable18"/>
  </pivotTables>
  <data>
    <tabular pivotCacheId="1543529228">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xr10:uid="{B371E8D6-E8AF-4B1C-9876-49B271EC2C7A}" cache="Slicer_Booking_Status1" caption="Booking_Status" style="SlicerStyleDark1" rowHeight="241300"/>
  <slicer name="Customer_Type" xr10:uid="{3A1C6478-ECCA-488B-933B-0DF990D5D718}" cache="Slicer_Customer_Type1" caption="Customer_Type" style="SlicerStyleDark1" rowHeight="241300"/>
  <slicer name="Room_Type 1" xr10:uid="{F3FD7427-C48A-43CD-B1EC-C26DEAC70F5E}" cache="Slicer_Room_Type1" caption="Room_Typ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Status 1" xr10:uid="{FC1ADC97-C986-4FA2-BFFD-BBEC48F3B8BA}" cache="Slicer_Booking_Status1" caption="Booking_Status" style="SlicerStyleDark1" rowHeight="241300"/>
  <slicer name="Customer_Type 1" xr10:uid="{04560B48-D91F-446E-AE92-CD21D9B58B0D}" cache="Slicer_Customer_Type1" caption="Customer_Type" style="SlicerStyleDark1" rowHeight="241300"/>
  <slicer name="Room_Type" xr10:uid="{F62AF95F-45F7-4408-B55C-ACEE229BBDBD}" cache="Slicer_Room_Type1" caption="Room_Type"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1BAB02-E6EB-4DDB-B3ED-5484338B8337}" name="Table5" displayName="Table5" ref="A1:G293" totalsRowShown="0" headerRowDxfId="61">
  <autoFilter ref="A1:G293" xr:uid="{0A7E2B10-95A7-4CE5-A79C-E7F0D12D82A3}"/>
  <tableColumns count="7">
    <tableColumn id="1" xr3:uid="{BA8667F0-DFEE-499F-9646-4027C5726585}" name="Booking_ID"/>
    <tableColumn id="2" xr3:uid="{ED5054AB-72C8-4BF8-B88E-F9A8C8B8F302}" name="Booking_Date" dataDxfId="60"/>
    <tableColumn id="3" xr3:uid="{C6CC9E19-68C8-48DD-BF23-7A8D47A4894B}" name="Room_Type"/>
    <tableColumn id="4" xr3:uid="{4DC108F9-FAB1-4C62-B594-0961A6BBFD4D}" name="Customer_Type"/>
    <tableColumn id="5" xr3:uid="{73ECAFD5-1DE8-4BD6-86AA-614772BB6107}" name="Nights"/>
    <tableColumn id="6" xr3:uid="{FF6E404D-11BD-449F-8760-6CD592B65966}" name="Room_Rate" dataDxfId="59"/>
    <tableColumn id="7" xr3:uid="{2BFDB832-00B9-4C85-93F3-8CE209797605}" name="Booking_Status"/>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D3208D-DC50-4A93-B44E-AC31C8B13B0F}" name="Table2" displayName="Table2" ref="I14:J18" totalsRowShown="0" headerRowDxfId="58" dataDxfId="57">
  <autoFilter ref="I14:J18" xr:uid="{870ED7EA-81BB-4C65-8B4E-2F6C0868478F}"/>
  <tableColumns count="2">
    <tableColumn id="1" xr3:uid="{9EEA8240-81B8-42CB-B91D-FF6AA00D441D}" name="Metric" dataDxfId="56"/>
    <tableColumn id="2" xr3:uid="{0202C3BD-41F9-40D6-B500-12FCEF820102}" name="Result" dataDxfId="5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6EC213-332F-4EF3-8E05-5C78E29437DC}" name="Table3" displayName="Table3" ref="A12:B25" totalsRowShown="0" dataDxfId="54">
  <autoFilter ref="A12:B25" xr:uid="{3A07BF63-526E-4516-AA54-6524C7B476A0}"/>
  <tableColumns count="2">
    <tableColumn id="1" xr3:uid="{DFAD1B34-DE1B-4F60-B7BA-552B47FFC319}" name="Metric" dataDxfId="53"/>
    <tableColumn id="2" xr3:uid="{02C348D5-27D0-485A-B6B6-35A8589740CF}" name="Result" dataDxfId="5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673059-20C9-4989-8D7C-B8E3CE8A73A4}" name="Table9" displayName="Table9" ref="D13:G18" headerRowDxfId="51" dataDxfId="50">
  <autoFilter ref="D13:G18" xr:uid="{C0A441FC-7115-4D1E-A6DA-1A3A00F0BBF1}"/>
  <tableColumns count="4">
    <tableColumn id="1" xr3:uid="{15D223E8-1332-48B4-A37D-33CC9826C5BB}" name="Function" totalsRowLabel="Total" dataDxfId="49" totalsRowDxfId="48"/>
    <tableColumn id="2" xr3:uid="{E277F259-9AE6-4685-B3C3-B1E43E070479}" name="Original Text" dataDxfId="47" totalsRowDxfId="46"/>
    <tableColumn id="3" xr3:uid="{18856DC6-D996-4CFE-AC46-A9EBE5C93D81}" name="Formula" dataDxfId="45" totalsRowDxfId="44"/>
    <tableColumn id="4" xr3:uid="{848B6A9C-11A1-4260-BAC4-45B0F9263872}" name="Result" totalsRowFunction="count" dataDxfId="43" totalsRowDxfId="4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49BA-F3CE-4BCF-84A9-3FF8DE3EFC55}">
  <dimension ref="A1:G303"/>
  <sheetViews>
    <sheetView tabSelected="1" zoomScaleNormal="100" workbookViewId="0">
      <selection activeCell="G1" sqref="G1:G1048576"/>
    </sheetView>
  </sheetViews>
  <sheetFormatPr defaultRowHeight="14.5"/>
  <cols>
    <col min="1" max="1" width="16.26953125" style="99" customWidth="1"/>
    <col min="2" max="2" width="19.90625" style="75" customWidth="1"/>
    <col min="3" max="3" width="16.6328125" style="99" customWidth="1"/>
    <col min="4" max="4" width="18.54296875" style="99" customWidth="1"/>
    <col min="5" max="5" width="12.08984375" style="12" customWidth="1"/>
    <col min="6" max="6" width="16.7265625" style="12" customWidth="1"/>
    <col min="7" max="7" width="19.6328125" style="99" customWidth="1"/>
  </cols>
  <sheetData>
    <row r="1" spans="1:7">
      <c r="A1" s="98" t="s">
        <v>0</v>
      </c>
      <c r="B1" s="74" t="s">
        <v>1</v>
      </c>
      <c r="C1" s="98" t="s">
        <v>2</v>
      </c>
      <c r="D1" s="98" t="s">
        <v>3</v>
      </c>
      <c r="E1" s="100" t="s">
        <v>4</v>
      </c>
      <c r="F1" s="100" t="s">
        <v>5</v>
      </c>
      <c r="G1" s="98" t="s">
        <v>6</v>
      </c>
    </row>
    <row r="2" spans="1:7">
      <c r="A2" s="99" t="s">
        <v>7</v>
      </c>
      <c r="C2" s="99" t="s">
        <v>8</v>
      </c>
      <c r="D2" s="99" t="s">
        <v>9</v>
      </c>
      <c r="E2" s="12">
        <v>3</v>
      </c>
      <c r="F2" s="12">
        <v>45.7</v>
      </c>
      <c r="G2" s="99" t="s">
        <v>10</v>
      </c>
    </row>
    <row r="3" spans="1:7">
      <c r="B3" s="75">
        <v>46018</v>
      </c>
      <c r="C3" s="99" t="s">
        <v>11</v>
      </c>
      <c r="D3" s="99" t="s">
        <v>9</v>
      </c>
      <c r="E3" s="12">
        <v>10</v>
      </c>
      <c r="F3" s="12">
        <v>69.03</v>
      </c>
      <c r="G3" s="99" t="s">
        <v>10</v>
      </c>
    </row>
    <row r="4" spans="1:7">
      <c r="A4" s="99" t="s">
        <v>12</v>
      </c>
      <c r="B4" s="75">
        <v>46123</v>
      </c>
      <c r="C4" s="99" t="s">
        <v>11</v>
      </c>
      <c r="D4" s="99" t="s">
        <v>9</v>
      </c>
      <c r="E4" s="12">
        <v>2</v>
      </c>
      <c r="F4" s="12">
        <v>66.680000000000007</v>
      </c>
      <c r="G4" s="99" t="s">
        <v>13</v>
      </c>
    </row>
    <row r="5" spans="1:7">
      <c r="A5" s="99" t="s">
        <v>14</v>
      </c>
      <c r="B5" s="75">
        <v>45899</v>
      </c>
      <c r="C5" s="99" t="s">
        <v>8</v>
      </c>
      <c r="D5" s="99" t="s">
        <v>15</v>
      </c>
      <c r="E5" s="12">
        <v>2</v>
      </c>
      <c r="F5" s="12">
        <v>44.5</v>
      </c>
      <c r="G5" s="99" t="s">
        <v>10</v>
      </c>
    </row>
    <row r="6" spans="1:7">
      <c r="A6" s="99" t="s">
        <v>16</v>
      </c>
      <c r="B6" s="75">
        <v>45887</v>
      </c>
      <c r="C6" s="99" t="s">
        <v>11</v>
      </c>
      <c r="E6" s="12">
        <v>10</v>
      </c>
      <c r="F6" s="12">
        <v>78.87</v>
      </c>
      <c r="G6" s="99" t="s">
        <v>10</v>
      </c>
    </row>
    <row r="7" spans="1:7">
      <c r="A7" s="99" t="s">
        <v>17</v>
      </c>
      <c r="B7" s="75">
        <v>45991</v>
      </c>
      <c r="C7" s="99" t="s">
        <v>18</v>
      </c>
      <c r="D7" s="99" t="s">
        <v>9</v>
      </c>
      <c r="F7" s="12">
        <v>129.5</v>
      </c>
      <c r="G7" s="99" t="s">
        <v>19</v>
      </c>
    </row>
    <row r="8" spans="1:7">
      <c r="A8" s="99" t="s">
        <v>20</v>
      </c>
      <c r="B8" s="75">
        <v>45773</v>
      </c>
      <c r="C8" s="99" t="s">
        <v>11</v>
      </c>
      <c r="D8" s="99" t="s">
        <v>9</v>
      </c>
      <c r="E8" s="12">
        <v>2</v>
      </c>
      <c r="F8" s="12">
        <v>72.98</v>
      </c>
      <c r="G8" s="99" t="s">
        <v>19</v>
      </c>
    </row>
    <row r="9" spans="1:7">
      <c r="A9" s="99" t="s">
        <v>21</v>
      </c>
      <c r="C9" s="99" t="s">
        <v>18</v>
      </c>
      <c r="D9" s="99" t="s">
        <v>9</v>
      </c>
      <c r="E9" s="12">
        <v>9</v>
      </c>
      <c r="F9" s="12">
        <v>122.35</v>
      </c>
      <c r="G9" s="99" t="s">
        <v>19</v>
      </c>
    </row>
    <row r="10" spans="1:7">
      <c r="A10" s="99" t="s">
        <v>22</v>
      </c>
      <c r="B10" s="75">
        <v>45908</v>
      </c>
      <c r="D10" s="99" t="s">
        <v>23</v>
      </c>
      <c r="E10" s="12">
        <v>7</v>
      </c>
      <c r="F10" s="12">
        <v>55.16</v>
      </c>
      <c r="G10" s="99" t="s">
        <v>19</v>
      </c>
    </row>
    <row r="11" spans="1:7">
      <c r="A11" s="99" t="s">
        <v>24</v>
      </c>
      <c r="B11" s="75">
        <v>45697</v>
      </c>
      <c r="C11" s="99" t="s">
        <v>8</v>
      </c>
      <c r="D11" s="99" t="s">
        <v>9</v>
      </c>
      <c r="E11" s="12">
        <v>3</v>
      </c>
      <c r="F11" s="12">
        <v>41.85</v>
      </c>
      <c r="G11" s="99" t="s">
        <v>10</v>
      </c>
    </row>
    <row r="12" spans="1:7">
      <c r="A12" s="99" t="s">
        <v>25</v>
      </c>
      <c r="B12" s="75">
        <v>46059</v>
      </c>
      <c r="C12" s="99" t="s">
        <v>8</v>
      </c>
      <c r="D12" s="99" t="s">
        <v>15</v>
      </c>
      <c r="E12" s="12">
        <v>6</v>
      </c>
      <c r="F12" s="12">
        <v>45.07</v>
      </c>
      <c r="G12" s="99" t="s">
        <v>10</v>
      </c>
    </row>
    <row r="13" spans="1:7">
      <c r="A13" s="99" t="s">
        <v>26</v>
      </c>
      <c r="B13" s="75">
        <v>46011</v>
      </c>
      <c r="C13" s="99" t="s">
        <v>8</v>
      </c>
      <c r="D13" s="99" t="s">
        <v>15</v>
      </c>
      <c r="E13" s="12">
        <v>2</v>
      </c>
      <c r="F13" s="12">
        <v>42.03</v>
      </c>
    </row>
    <row r="14" spans="1:7">
      <c r="A14" s="99" t="s">
        <v>27</v>
      </c>
      <c r="B14" s="75">
        <v>45914</v>
      </c>
      <c r="C14" s="99" t="s">
        <v>8</v>
      </c>
      <c r="D14" s="99" t="s">
        <v>23</v>
      </c>
      <c r="E14" s="12">
        <v>1</v>
      </c>
      <c r="F14" s="12">
        <v>55.71</v>
      </c>
      <c r="G14" s="99" t="s">
        <v>10</v>
      </c>
    </row>
    <row r="15" spans="1:7">
      <c r="A15" s="99" t="s">
        <v>28</v>
      </c>
      <c r="B15" s="75">
        <v>45822</v>
      </c>
      <c r="C15" s="99" t="s">
        <v>8</v>
      </c>
      <c r="D15" s="99" t="s">
        <v>23</v>
      </c>
      <c r="F15" s="12">
        <v>47.23</v>
      </c>
      <c r="G15" s="99" t="s">
        <v>29</v>
      </c>
    </row>
    <row r="16" spans="1:7">
      <c r="A16" s="99" t="s">
        <v>30</v>
      </c>
      <c r="B16" s="75">
        <v>46000</v>
      </c>
      <c r="C16" s="99" t="s">
        <v>8</v>
      </c>
      <c r="D16" s="99" t="s">
        <v>9</v>
      </c>
      <c r="E16" s="12">
        <v>4</v>
      </c>
      <c r="F16" s="12">
        <v>43.09</v>
      </c>
    </row>
    <row r="17" spans="1:7">
      <c r="A17" s="99" t="s">
        <v>31</v>
      </c>
      <c r="B17" s="75">
        <v>45698</v>
      </c>
      <c r="D17" s="99" t="s">
        <v>23</v>
      </c>
      <c r="E17" s="12">
        <v>1</v>
      </c>
      <c r="F17" s="12">
        <v>45</v>
      </c>
      <c r="G17" s="99" t="s">
        <v>10</v>
      </c>
    </row>
    <row r="18" spans="1:7">
      <c r="A18" s="99" t="s">
        <v>32</v>
      </c>
      <c r="B18" s="75">
        <v>45832</v>
      </c>
      <c r="C18" s="99" t="s">
        <v>8</v>
      </c>
      <c r="D18" s="99" t="s">
        <v>23</v>
      </c>
      <c r="E18" s="12">
        <v>7</v>
      </c>
      <c r="F18" s="12">
        <v>53.8</v>
      </c>
      <c r="G18" s="99" t="s">
        <v>10</v>
      </c>
    </row>
    <row r="19" spans="1:7">
      <c r="A19" s="99" t="s">
        <v>33</v>
      </c>
      <c r="B19" s="75">
        <v>45688</v>
      </c>
      <c r="C19" s="99" t="s">
        <v>8</v>
      </c>
      <c r="E19" s="12">
        <v>3</v>
      </c>
      <c r="F19" s="12">
        <v>41.94</v>
      </c>
      <c r="G19" s="99" t="s">
        <v>19</v>
      </c>
    </row>
    <row r="20" spans="1:7">
      <c r="B20" s="75">
        <v>46038</v>
      </c>
      <c r="C20" s="99" t="s">
        <v>18</v>
      </c>
      <c r="D20" s="99" t="s">
        <v>23</v>
      </c>
      <c r="E20" s="12">
        <v>4</v>
      </c>
      <c r="F20" s="12">
        <v>115.92</v>
      </c>
      <c r="G20" s="99" t="s">
        <v>10</v>
      </c>
    </row>
    <row r="21" spans="1:7">
      <c r="A21" s="99" t="s">
        <v>34</v>
      </c>
      <c r="B21" s="75">
        <v>46222</v>
      </c>
      <c r="C21" s="99" t="s">
        <v>11</v>
      </c>
      <c r="D21" s="99" t="s">
        <v>23</v>
      </c>
      <c r="E21" s="12">
        <v>8</v>
      </c>
      <c r="F21" s="12">
        <v>69.040000000000006</v>
      </c>
      <c r="G21" s="99" t="s">
        <v>19</v>
      </c>
    </row>
    <row r="22" spans="1:7">
      <c r="A22" s="99" t="s">
        <v>35</v>
      </c>
      <c r="B22" s="75">
        <v>46224</v>
      </c>
      <c r="C22" s="99" t="s">
        <v>8</v>
      </c>
      <c r="D22" s="99" t="s">
        <v>23</v>
      </c>
      <c r="E22" s="12">
        <v>9</v>
      </c>
      <c r="F22" s="12">
        <v>49.1</v>
      </c>
      <c r="G22" s="99" t="s">
        <v>10</v>
      </c>
    </row>
    <row r="23" spans="1:7">
      <c r="A23" s="99" t="s">
        <v>36</v>
      </c>
      <c r="B23" s="75">
        <v>45811</v>
      </c>
      <c r="C23" s="99" t="s">
        <v>18</v>
      </c>
      <c r="D23" s="99" t="s">
        <v>23</v>
      </c>
      <c r="E23" s="12">
        <v>8</v>
      </c>
      <c r="F23" s="12">
        <v>122.97</v>
      </c>
      <c r="G23" s="99" t="s">
        <v>10</v>
      </c>
    </row>
    <row r="24" spans="1:7">
      <c r="A24" s="99" t="s">
        <v>37</v>
      </c>
      <c r="B24" s="75">
        <v>45854</v>
      </c>
      <c r="C24" s="99" t="s">
        <v>11</v>
      </c>
      <c r="D24" s="99" t="s">
        <v>9</v>
      </c>
      <c r="E24" s="12">
        <v>1</v>
      </c>
      <c r="F24" s="12">
        <v>65.22</v>
      </c>
      <c r="G24" s="99" t="s">
        <v>19</v>
      </c>
    </row>
    <row r="25" spans="1:7">
      <c r="A25" s="99" t="s">
        <v>38</v>
      </c>
      <c r="B25" s="75">
        <v>45960</v>
      </c>
      <c r="C25" s="99" t="s">
        <v>8</v>
      </c>
      <c r="D25" s="99" t="s">
        <v>15</v>
      </c>
      <c r="E25" s="12">
        <v>7</v>
      </c>
      <c r="F25" s="12">
        <v>45.26</v>
      </c>
      <c r="G25" s="99" t="s">
        <v>10</v>
      </c>
    </row>
    <row r="26" spans="1:7">
      <c r="A26" s="99" t="s">
        <v>39</v>
      </c>
      <c r="B26" s="75">
        <v>45747</v>
      </c>
      <c r="C26" s="99" t="s">
        <v>8</v>
      </c>
      <c r="D26" s="99" t="s">
        <v>9</v>
      </c>
      <c r="E26" s="12">
        <v>4</v>
      </c>
      <c r="F26" s="12">
        <v>41.79</v>
      </c>
      <c r="G26" s="99" t="s">
        <v>29</v>
      </c>
    </row>
    <row r="27" spans="1:7">
      <c r="A27" s="99" t="s">
        <v>40</v>
      </c>
      <c r="B27" s="75">
        <v>46050</v>
      </c>
      <c r="C27" s="99" t="s">
        <v>18</v>
      </c>
      <c r="D27" s="99" t="s">
        <v>23</v>
      </c>
      <c r="E27" s="12">
        <v>2</v>
      </c>
      <c r="F27" s="12">
        <v>142.34</v>
      </c>
      <c r="G27" s="99" t="s">
        <v>19</v>
      </c>
    </row>
    <row r="28" spans="1:7">
      <c r="A28" s="99" t="s">
        <v>41</v>
      </c>
      <c r="B28" s="75">
        <v>45886</v>
      </c>
      <c r="C28" s="99" t="s">
        <v>18</v>
      </c>
      <c r="D28" s="99" t="s">
        <v>15</v>
      </c>
      <c r="E28" s="12">
        <v>6</v>
      </c>
      <c r="F28" s="12">
        <v>115.74</v>
      </c>
      <c r="G28" s="99" t="s">
        <v>19</v>
      </c>
    </row>
    <row r="29" spans="1:7">
      <c r="A29" s="99" t="s">
        <v>42</v>
      </c>
      <c r="B29" s="75">
        <v>45708</v>
      </c>
      <c r="C29" s="99" t="s">
        <v>8</v>
      </c>
      <c r="D29" s="99" t="s">
        <v>23</v>
      </c>
      <c r="E29" s="12">
        <v>7</v>
      </c>
      <c r="F29" s="12">
        <v>54.69</v>
      </c>
      <c r="G29" s="99" t="s">
        <v>10</v>
      </c>
    </row>
    <row r="30" spans="1:7">
      <c r="A30" s="99" t="s">
        <v>43</v>
      </c>
      <c r="B30" s="75">
        <v>45763</v>
      </c>
      <c r="C30" s="99" t="s">
        <v>44</v>
      </c>
      <c r="D30" s="99" t="s">
        <v>23</v>
      </c>
      <c r="E30" s="12">
        <v>2</v>
      </c>
      <c r="F30" s="12">
        <v>112.14</v>
      </c>
    </row>
    <row r="31" spans="1:7">
      <c r="A31" s="99" t="s">
        <v>45</v>
      </c>
      <c r="B31" s="75">
        <v>45971</v>
      </c>
      <c r="C31" s="99" t="s">
        <v>11</v>
      </c>
      <c r="E31" s="12">
        <v>8</v>
      </c>
      <c r="F31" s="12">
        <v>79.8</v>
      </c>
      <c r="G31" s="99" t="s">
        <v>10</v>
      </c>
    </row>
    <row r="32" spans="1:7">
      <c r="A32" s="99" t="s">
        <v>46</v>
      </c>
      <c r="B32" s="75">
        <v>46027</v>
      </c>
      <c r="C32" s="99" t="s">
        <v>47</v>
      </c>
      <c r="D32" s="99" t="s">
        <v>9</v>
      </c>
      <c r="E32" s="12">
        <v>2</v>
      </c>
      <c r="F32" s="12">
        <v>81.31</v>
      </c>
      <c r="G32" s="99" t="s">
        <v>13</v>
      </c>
    </row>
    <row r="33" spans="1:7">
      <c r="A33" s="99" t="s">
        <v>48</v>
      </c>
      <c r="B33" s="75">
        <v>45795</v>
      </c>
      <c r="C33" s="99" t="s">
        <v>44</v>
      </c>
      <c r="D33" s="99" t="s">
        <v>15</v>
      </c>
      <c r="E33" s="12">
        <v>4</v>
      </c>
      <c r="F33" s="12">
        <v>113.57</v>
      </c>
      <c r="G33" s="99" t="s">
        <v>10</v>
      </c>
    </row>
    <row r="34" spans="1:7">
      <c r="A34" s="99" t="s">
        <v>49</v>
      </c>
      <c r="C34" s="99" t="s">
        <v>8</v>
      </c>
      <c r="D34" s="99" t="s">
        <v>23</v>
      </c>
      <c r="E34" s="12">
        <v>8</v>
      </c>
      <c r="F34" s="12">
        <v>43.87</v>
      </c>
      <c r="G34" s="99" t="s">
        <v>10</v>
      </c>
    </row>
    <row r="35" spans="1:7">
      <c r="A35" s="99" t="s">
        <v>50</v>
      </c>
      <c r="B35" s="75">
        <v>45933</v>
      </c>
      <c r="C35" s="99" t="s">
        <v>11</v>
      </c>
      <c r="D35" s="99" t="s">
        <v>9</v>
      </c>
      <c r="E35" s="12">
        <v>3</v>
      </c>
      <c r="F35" s="12">
        <v>68.260000000000005</v>
      </c>
      <c r="G35" s="99" t="s">
        <v>10</v>
      </c>
    </row>
    <row r="36" spans="1:7">
      <c r="A36" s="99" t="s">
        <v>51</v>
      </c>
      <c r="B36" s="75">
        <v>46232</v>
      </c>
      <c r="C36" s="99" t="s">
        <v>11</v>
      </c>
      <c r="D36" s="99" t="s">
        <v>15</v>
      </c>
      <c r="E36" s="12">
        <v>4</v>
      </c>
      <c r="F36" s="12">
        <v>75.510000000000005</v>
      </c>
      <c r="G36" s="99" t="s">
        <v>13</v>
      </c>
    </row>
    <row r="37" spans="1:7">
      <c r="A37" s="99" t="s">
        <v>52</v>
      </c>
      <c r="B37" s="75">
        <v>46137</v>
      </c>
      <c r="C37" s="99" t="s">
        <v>8</v>
      </c>
      <c r="D37" s="99" t="s">
        <v>9</v>
      </c>
      <c r="E37" s="12">
        <v>3</v>
      </c>
      <c r="F37" s="12">
        <v>43.98</v>
      </c>
      <c r="G37" s="99" t="s">
        <v>10</v>
      </c>
    </row>
    <row r="38" spans="1:7">
      <c r="A38" s="99" t="s">
        <v>53</v>
      </c>
      <c r="B38" s="75">
        <v>45793</v>
      </c>
      <c r="C38" s="99" t="s">
        <v>11</v>
      </c>
      <c r="D38" s="99" t="s">
        <v>23</v>
      </c>
      <c r="E38" s="12">
        <v>6</v>
      </c>
      <c r="F38" s="12">
        <v>82.61</v>
      </c>
      <c r="G38" s="99" t="s">
        <v>10</v>
      </c>
    </row>
    <row r="39" spans="1:7">
      <c r="A39" s="99" t="s">
        <v>54</v>
      </c>
      <c r="B39" s="75">
        <v>46119</v>
      </c>
      <c r="D39" s="99" t="s">
        <v>23</v>
      </c>
      <c r="E39" s="12">
        <v>7</v>
      </c>
      <c r="F39" s="12">
        <v>119.02</v>
      </c>
      <c r="G39" s="99" t="s">
        <v>19</v>
      </c>
    </row>
    <row r="40" spans="1:7">
      <c r="A40" s="99" t="s">
        <v>55</v>
      </c>
      <c r="B40" s="75">
        <v>46150</v>
      </c>
      <c r="C40" s="99" t="s">
        <v>8</v>
      </c>
      <c r="D40" s="99" t="s">
        <v>9</v>
      </c>
      <c r="E40" s="12">
        <v>3</v>
      </c>
      <c r="F40" s="12">
        <v>50.12</v>
      </c>
      <c r="G40" s="99" t="s">
        <v>19</v>
      </c>
    </row>
    <row r="41" spans="1:7">
      <c r="A41" s="99" t="s">
        <v>56</v>
      </c>
      <c r="B41" s="75">
        <v>45754</v>
      </c>
      <c r="C41" s="99" t="s">
        <v>8</v>
      </c>
      <c r="D41" s="99" t="s">
        <v>15</v>
      </c>
      <c r="E41" s="12">
        <v>4</v>
      </c>
      <c r="F41" s="12">
        <v>41.75</v>
      </c>
      <c r="G41" s="99" t="s">
        <v>10</v>
      </c>
    </row>
    <row r="42" spans="1:7">
      <c r="A42" s="99" t="s">
        <v>57</v>
      </c>
      <c r="B42" s="75">
        <v>45706</v>
      </c>
      <c r="C42" s="99" t="s">
        <v>8</v>
      </c>
      <c r="D42" s="99" t="s">
        <v>23</v>
      </c>
      <c r="E42" s="12">
        <v>5</v>
      </c>
      <c r="F42" s="12">
        <v>43.17</v>
      </c>
      <c r="G42" s="99" t="s">
        <v>10</v>
      </c>
    </row>
    <row r="43" spans="1:7">
      <c r="A43" s="99" t="s">
        <v>58</v>
      </c>
      <c r="C43" s="99" t="s">
        <v>44</v>
      </c>
      <c r="D43" s="99" t="s">
        <v>15</v>
      </c>
      <c r="E43" s="12">
        <v>1</v>
      </c>
      <c r="F43" s="12">
        <v>94.46</v>
      </c>
      <c r="G43" s="99" t="s">
        <v>13</v>
      </c>
    </row>
    <row r="44" spans="1:7">
      <c r="A44" s="99" t="s">
        <v>59</v>
      </c>
      <c r="B44" s="75">
        <v>45867</v>
      </c>
      <c r="C44" s="99" t="s">
        <v>18</v>
      </c>
      <c r="D44" s="99" t="s">
        <v>15</v>
      </c>
      <c r="E44" s="12">
        <v>9</v>
      </c>
      <c r="F44" s="12">
        <v>130.59</v>
      </c>
      <c r="G44" s="99" t="s">
        <v>10</v>
      </c>
    </row>
    <row r="45" spans="1:7">
      <c r="A45" s="99" t="s">
        <v>60</v>
      </c>
      <c r="B45" s="75">
        <v>46011</v>
      </c>
      <c r="C45" s="99" t="s">
        <v>11</v>
      </c>
      <c r="D45" s="99" t="s">
        <v>15</v>
      </c>
      <c r="E45" s="12">
        <v>4</v>
      </c>
      <c r="F45" s="12">
        <v>68.489999999999995</v>
      </c>
      <c r="G45" s="99" t="s">
        <v>19</v>
      </c>
    </row>
    <row r="46" spans="1:7">
      <c r="A46" s="99" t="s">
        <v>61</v>
      </c>
      <c r="B46" s="75">
        <v>45765</v>
      </c>
      <c r="C46" s="99" t="s">
        <v>8</v>
      </c>
      <c r="D46" s="99" t="s">
        <v>62</v>
      </c>
      <c r="F46" s="12">
        <v>54.84</v>
      </c>
      <c r="G46" s="99" t="s">
        <v>10</v>
      </c>
    </row>
    <row r="47" spans="1:7">
      <c r="A47" s="99" t="s">
        <v>63</v>
      </c>
      <c r="B47" s="75">
        <v>45925</v>
      </c>
      <c r="C47" s="99" t="s">
        <v>11</v>
      </c>
      <c r="D47" s="99" t="s">
        <v>9</v>
      </c>
      <c r="E47" s="12">
        <v>6</v>
      </c>
      <c r="F47" s="12">
        <v>70.849999999999994</v>
      </c>
      <c r="G47" s="99" t="s">
        <v>10</v>
      </c>
    </row>
    <row r="48" spans="1:7">
      <c r="A48" s="99" t="s">
        <v>64</v>
      </c>
      <c r="B48" s="75">
        <v>45756</v>
      </c>
      <c r="D48" s="99" t="s">
        <v>15</v>
      </c>
      <c r="E48" s="12">
        <v>9</v>
      </c>
      <c r="F48" s="12">
        <v>40.94</v>
      </c>
      <c r="G48" s="99" t="s">
        <v>10</v>
      </c>
    </row>
    <row r="49" spans="1:7">
      <c r="A49" s="99" t="s">
        <v>65</v>
      </c>
      <c r="B49" s="75">
        <v>45784</v>
      </c>
      <c r="C49" s="99" t="s">
        <v>11</v>
      </c>
      <c r="E49" s="12">
        <v>2</v>
      </c>
      <c r="F49" s="12">
        <v>63.25</v>
      </c>
      <c r="G49" s="99" t="s">
        <v>10</v>
      </c>
    </row>
    <row r="50" spans="1:7">
      <c r="A50" s="99" t="s">
        <v>66</v>
      </c>
      <c r="B50" s="75">
        <v>46063</v>
      </c>
      <c r="C50" s="99" t="s">
        <v>44</v>
      </c>
      <c r="D50" s="99" t="s">
        <v>9</v>
      </c>
      <c r="F50" s="12">
        <v>107.88</v>
      </c>
      <c r="G50" s="99" t="s">
        <v>13</v>
      </c>
    </row>
    <row r="51" spans="1:7">
      <c r="A51" s="99" t="s">
        <v>67</v>
      </c>
      <c r="B51" s="75">
        <v>46058</v>
      </c>
      <c r="C51" s="99" t="s">
        <v>8</v>
      </c>
      <c r="E51" s="12">
        <v>8</v>
      </c>
      <c r="F51" s="12">
        <v>44.65</v>
      </c>
      <c r="G51" s="99" t="s">
        <v>13</v>
      </c>
    </row>
    <row r="52" spans="1:7">
      <c r="A52" s="99" t="s">
        <v>68</v>
      </c>
      <c r="B52" s="75">
        <v>45672</v>
      </c>
      <c r="C52" s="99" t="s">
        <v>18</v>
      </c>
      <c r="D52" s="99" t="s">
        <v>69</v>
      </c>
      <c r="E52" s="12">
        <v>6</v>
      </c>
      <c r="F52" s="12">
        <v>120.33</v>
      </c>
      <c r="G52" s="99" t="s">
        <v>13</v>
      </c>
    </row>
    <row r="53" spans="1:7">
      <c r="A53" s="99" t="s">
        <v>70</v>
      </c>
      <c r="B53" s="75">
        <v>45971</v>
      </c>
      <c r="C53" s="99" t="s">
        <v>8</v>
      </c>
      <c r="D53" s="99" t="s">
        <v>23</v>
      </c>
      <c r="E53" s="12">
        <v>45</v>
      </c>
      <c r="F53" s="12">
        <v>50.15</v>
      </c>
      <c r="G53" s="99" t="s">
        <v>10</v>
      </c>
    </row>
    <row r="54" spans="1:7">
      <c r="A54" s="99" t="s">
        <v>71</v>
      </c>
      <c r="B54" s="75">
        <v>46144</v>
      </c>
      <c r="C54" s="99" t="s">
        <v>8</v>
      </c>
      <c r="D54" s="99" t="s">
        <v>23</v>
      </c>
      <c r="E54" s="12">
        <v>6</v>
      </c>
      <c r="F54" s="12">
        <v>42.69</v>
      </c>
      <c r="G54" s="99" t="s">
        <v>10</v>
      </c>
    </row>
    <row r="55" spans="1:7">
      <c r="A55" s="99" t="s">
        <v>72</v>
      </c>
      <c r="B55" s="75">
        <v>45955</v>
      </c>
      <c r="C55" s="99" t="s">
        <v>8</v>
      </c>
      <c r="D55" s="99" t="s">
        <v>15</v>
      </c>
      <c r="E55" s="12">
        <v>2</v>
      </c>
      <c r="F55" s="12">
        <v>53.78</v>
      </c>
      <c r="G55" s="99" t="s">
        <v>19</v>
      </c>
    </row>
    <row r="56" spans="1:7">
      <c r="A56" s="99" t="s">
        <v>73</v>
      </c>
      <c r="B56" s="75">
        <v>46178</v>
      </c>
      <c r="C56" s="99" t="s">
        <v>11</v>
      </c>
      <c r="D56" s="99" t="s">
        <v>9</v>
      </c>
      <c r="E56" s="12">
        <v>6</v>
      </c>
      <c r="G56" s="99" t="s">
        <v>13</v>
      </c>
    </row>
    <row r="57" spans="1:7">
      <c r="A57" s="99" t="s">
        <v>74</v>
      </c>
      <c r="B57" s="75">
        <v>45768</v>
      </c>
      <c r="C57" s="99" t="s">
        <v>44</v>
      </c>
      <c r="D57" s="99" t="s">
        <v>9</v>
      </c>
      <c r="E57" s="12">
        <v>1</v>
      </c>
      <c r="F57" s="12">
        <v>97.23</v>
      </c>
      <c r="G57" s="99" t="s">
        <v>10</v>
      </c>
    </row>
    <row r="58" spans="1:7">
      <c r="A58" s="99" t="s">
        <v>75</v>
      </c>
      <c r="B58" s="75">
        <v>45945</v>
      </c>
      <c r="C58" s="99" t="s">
        <v>11</v>
      </c>
      <c r="D58" s="99" t="s">
        <v>15</v>
      </c>
      <c r="F58" s="12">
        <v>84.69</v>
      </c>
      <c r="G58" s="99" t="s">
        <v>10</v>
      </c>
    </row>
    <row r="59" spans="1:7">
      <c r="A59" s="99" t="s">
        <v>76</v>
      </c>
      <c r="B59" s="75">
        <v>46211</v>
      </c>
      <c r="D59" s="99" t="s">
        <v>9</v>
      </c>
      <c r="E59" s="12">
        <v>7</v>
      </c>
      <c r="F59" s="12">
        <v>53.33</v>
      </c>
      <c r="G59" s="99" t="s">
        <v>10</v>
      </c>
    </row>
    <row r="60" spans="1:7">
      <c r="A60" s="99" t="s">
        <v>77</v>
      </c>
      <c r="B60" s="75">
        <v>45824</v>
      </c>
      <c r="C60" s="99" t="s">
        <v>44</v>
      </c>
      <c r="D60" s="99" t="s">
        <v>9</v>
      </c>
      <c r="E60" s="12">
        <v>4</v>
      </c>
      <c r="F60" s="12">
        <v>109.18</v>
      </c>
      <c r="G60" s="99" t="s">
        <v>13</v>
      </c>
    </row>
    <row r="61" spans="1:7">
      <c r="A61" s="99" t="s">
        <v>78</v>
      </c>
      <c r="B61" s="75">
        <v>45932</v>
      </c>
      <c r="D61" s="99" t="s">
        <v>23</v>
      </c>
      <c r="E61" s="12">
        <v>7</v>
      </c>
      <c r="F61" s="12">
        <v>128.94999999999999</v>
      </c>
      <c r="G61" s="99" t="s">
        <v>29</v>
      </c>
    </row>
    <row r="62" spans="1:7">
      <c r="A62" s="99" t="s">
        <v>79</v>
      </c>
      <c r="B62" s="75">
        <v>45759</v>
      </c>
      <c r="C62" s="99" t="s">
        <v>44</v>
      </c>
      <c r="D62" s="99" t="s">
        <v>23</v>
      </c>
      <c r="F62" s="12">
        <v>86.81</v>
      </c>
      <c r="G62" s="99" t="s">
        <v>10</v>
      </c>
    </row>
    <row r="63" spans="1:7">
      <c r="A63" s="99" t="s">
        <v>80</v>
      </c>
      <c r="B63" s="75">
        <v>45985</v>
      </c>
      <c r="C63" s="99" t="s">
        <v>8</v>
      </c>
      <c r="D63" s="99" t="s">
        <v>23</v>
      </c>
      <c r="E63" s="12">
        <v>6</v>
      </c>
      <c r="F63" s="12">
        <v>40.729999999999997</v>
      </c>
      <c r="G63" s="99" t="s">
        <v>13</v>
      </c>
    </row>
    <row r="64" spans="1:7">
      <c r="A64" s="99" t="s">
        <v>81</v>
      </c>
      <c r="B64" s="75">
        <v>46210</v>
      </c>
      <c r="C64" s="99" t="s">
        <v>8</v>
      </c>
      <c r="D64" s="99" t="s">
        <v>23</v>
      </c>
      <c r="E64" s="12">
        <v>2</v>
      </c>
      <c r="G64" s="99" t="s">
        <v>13</v>
      </c>
    </row>
    <row r="65" spans="1:7">
      <c r="A65" s="99" t="s">
        <v>82</v>
      </c>
      <c r="B65" s="75">
        <v>45976</v>
      </c>
      <c r="C65" s="99" t="s">
        <v>11</v>
      </c>
      <c r="D65" s="99" t="s">
        <v>15</v>
      </c>
      <c r="E65" s="12">
        <v>3</v>
      </c>
      <c r="F65" s="12">
        <v>64.959999999999994</v>
      </c>
      <c r="G65" s="99" t="s">
        <v>13</v>
      </c>
    </row>
    <row r="66" spans="1:7">
      <c r="A66" s="99" t="s">
        <v>83</v>
      </c>
      <c r="B66" s="75">
        <v>45753</v>
      </c>
      <c r="C66" s="99" t="s">
        <v>18</v>
      </c>
      <c r="D66" s="99" t="s">
        <v>15</v>
      </c>
      <c r="E66" s="12">
        <v>3</v>
      </c>
      <c r="F66" s="12">
        <v>132.94999999999999</v>
      </c>
      <c r="G66" s="99" t="s">
        <v>10</v>
      </c>
    </row>
    <row r="67" spans="1:7">
      <c r="A67" s="99" t="s">
        <v>84</v>
      </c>
      <c r="B67" s="75">
        <v>45715</v>
      </c>
      <c r="C67" s="99" t="s">
        <v>11</v>
      </c>
      <c r="D67" s="99" t="s">
        <v>9</v>
      </c>
      <c r="E67" s="12">
        <v>3</v>
      </c>
      <c r="F67" s="12">
        <v>71.98</v>
      </c>
      <c r="G67" s="99" t="s">
        <v>10</v>
      </c>
    </row>
    <row r="68" spans="1:7">
      <c r="A68" s="99" t="s">
        <v>85</v>
      </c>
      <c r="B68" s="75">
        <v>45871</v>
      </c>
      <c r="C68" s="99" t="s">
        <v>8</v>
      </c>
      <c r="D68" s="99" t="s">
        <v>9</v>
      </c>
      <c r="E68" s="12">
        <v>5</v>
      </c>
      <c r="F68" s="12">
        <v>51.45</v>
      </c>
      <c r="G68" s="99" t="s">
        <v>10</v>
      </c>
    </row>
    <row r="69" spans="1:7">
      <c r="A69" s="99" t="s">
        <v>86</v>
      </c>
      <c r="B69" s="75">
        <v>45763</v>
      </c>
      <c r="C69" s="99" t="s">
        <v>8</v>
      </c>
      <c r="D69" s="99" t="s">
        <v>9</v>
      </c>
      <c r="E69" s="12">
        <v>1</v>
      </c>
      <c r="F69" s="12">
        <v>42.07</v>
      </c>
      <c r="G69" s="99" t="s">
        <v>19</v>
      </c>
    </row>
    <row r="70" spans="1:7">
      <c r="A70" s="99" t="s">
        <v>87</v>
      </c>
      <c r="B70" s="75">
        <v>45962</v>
      </c>
      <c r="C70" s="99" t="s">
        <v>18</v>
      </c>
      <c r="D70" s="99" t="s">
        <v>9</v>
      </c>
      <c r="E70" s="12">
        <v>1</v>
      </c>
      <c r="F70" s="12">
        <v>116.29</v>
      </c>
    </row>
    <row r="71" spans="1:7">
      <c r="A71" s="99" t="s">
        <v>88</v>
      </c>
      <c r="B71" s="75">
        <v>45681</v>
      </c>
      <c r="C71" s="99" t="s">
        <v>8</v>
      </c>
      <c r="D71" s="99" t="s">
        <v>15</v>
      </c>
      <c r="E71" s="12">
        <v>1</v>
      </c>
      <c r="F71" s="12">
        <v>48.81</v>
      </c>
      <c r="G71" s="99" t="s">
        <v>89</v>
      </c>
    </row>
    <row r="72" spans="1:7">
      <c r="A72" s="99" t="s">
        <v>90</v>
      </c>
      <c r="C72" s="99" t="s">
        <v>8</v>
      </c>
      <c r="D72" s="99" t="s">
        <v>23</v>
      </c>
      <c r="E72" s="12">
        <v>5</v>
      </c>
      <c r="F72" s="12">
        <v>53.6</v>
      </c>
      <c r="G72" s="99" t="s">
        <v>10</v>
      </c>
    </row>
    <row r="73" spans="1:7">
      <c r="A73" s="99" t="s">
        <v>91</v>
      </c>
      <c r="B73" s="75">
        <v>46213</v>
      </c>
      <c r="C73" s="99" t="s">
        <v>8</v>
      </c>
      <c r="D73" s="99" t="s">
        <v>23</v>
      </c>
      <c r="E73" s="12">
        <v>40</v>
      </c>
      <c r="F73" s="12">
        <v>43.31</v>
      </c>
      <c r="G73" s="99" t="s">
        <v>13</v>
      </c>
    </row>
    <row r="74" spans="1:7">
      <c r="A74" s="99" t="s">
        <v>92</v>
      </c>
      <c r="B74" s="75">
        <v>45719</v>
      </c>
      <c r="C74" s="99" t="s">
        <v>18</v>
      </c>
      <c r="D74" s="99" t="s">
        <v>23</v>
      </c>
      <c r="E74" s="12">
        <v>9</v>
      </c>
      <c r="F74" s="12">
        <v>147.33000000000001</v>
      </c>
      <c r="G74" s="99" t="s">
        <v>19</v>
      </c>
    </row>
    <row r="75" spans="1:7">
      <c r="A75" s="99" t="s">
        <v>93</v>
      </c>
      <c r="B75" s="75">
        <v>45959</v>
      </c>
      <c r="C75" s="99" t="s">
        <v>8</v>
      </c>
      <c r="D75" s="99" t="s">
        <v>23</v>
      </c>
      <c r="E75" s="12">
        <v>3</v>
      </c>
      <c r="F75" s="12">
        <v>48.56</v>
      </c>
      <c r="G75" s="99" t="s">
        <v>10</v>
      </c>
    </row>
    <row r="76" spans="1:7">
      <c r="A76" s="99" t="s">
        <v>94</v>
      </c>
      <c r="B76" s="75">
        <v>46127</v>
      </c>
      <c r="C76" s="99" t="s">
        <v>8</v>
      </c>
      <c r="D76" s="99" t="s">
        <v>15</v>
      </c>
      <c r="E76" s="12">
        <v>4</v>
      </c>
      <c r="F76" s="12">
        <v>40.75</v>
      </c>
      <c r="G76" s="99" t="s">
        <v>95</v>
      </c>
    </row>
    <row r="77" spans="1:7">
      <c r="B77" s="75">
        <v>46079</v>
      </c>
      <c r="C77" s="99" t="s">
        <v>8</v>
      </c>
      <c r="D77" s="99" t="s">
        <v>9</v>
      </c>
      <c r="E77" s="12">
        <v>5</v>
      </c>
      <c r="F77" s="12">
        <v>42.32</v>
      </c>
      <c r="G77" s="99" t="s">
        <v>10</v>
      </c>
    </row>
    <row r="78" spans="1:7">
      <c r="B78" s="75">
        <v>46011</v>
      </c>
      <c r="C78" s="99" t="s">
        <v>8</v>
      </c>
      <c r="D78" s="99" t="s">
        <v>9</v>
      </c>
      <c r="E78" s="12">
        <v>9</v>
      </c>
      <c r="F78" s="12">
        <v>51.81</v>
      </c>
      <c r="G78" s="99" t="s">
        <v>10</v>
      </c>
    </row>
    <row r="79" spans="1:7">
      <c r="A79" s="99" t="s">
        <v>96</v>
      </c>
      <c r="B79" s="75">
        <v>46042</v>
      </c>
      <c r="C79" s="99" t="s">
        <v>11</v>
      </c>
      <c r="D79" s="99" t="s">
        <v>23</v>
      </c>
      <c r="E79" s="12">
        <v>4</v>
      </c>
      <c r="F79" s="12">
        <v>64.97</v>
      </c>
      <c r="G79" s="99" t="s">
        <v>10</v>
      </c>
    </row>
    <row r="80" spans="1:7">
      <c r="A80" s="99" t="s">
        <v>97</v>
      </c>
      <c r="B80" s="75">
        <v>45805</v>
      </c>
      <c r="C80" s="99" t="s">
        <v>8</v>
      </c>
      <c r="D80" s="99" t="s">
        <v>15</v>
      </c>
      <c r="E80" s="12">
        <v>4</v>
      </c>
      <c r="F80" s="12">
        <v>47.45</v>
      </c>
      <c r="G80" s="99" t="s">
        <v>10</v>
      </c>
    </row>
    <row r="81" spans="1:7">
      <c r="A81" s="99" t="s">
        <v>98</v>
      </c>
      <c r="B81" s="75">
        <v>45768</v>
      </c>
      <c r="C81" s="99" t="s">
        <v>18</v>
      </c>
      <c r="E81" s="12">
        <v>2</v>
      </c>
      <c r="F81" s="12">
        <v>145</v>
      </c>
      <c r="G81" s="99" t="s">
        <v>99</v>
      </c>
    </row>
    <row r="82" spans="1:7">
      <c r="A82" s="99" t="s">
        <v>100</v>
      </c>
      <c r="B82" s="75">
        <v>45956</v>
      </c>
      <c r="C82" s="99" t="s">
        <v>8</v>
      </c>
      <c r="D82" s="99" t="s">
        <v>23</v>
      </c>
      <c r="E82" s="12">
        <v>7</v>
      </c>
      <c r="F82" s="12">
        <v>49.46</v>
      </c>
      <c r="G82" s="99" t="s">
        <v>10</v>
      </c>
    </row>
    <row r="83" spans="1:7">
      <c r="A83" s="99" t="s">
        <v>101</v>
      </c>
      <c r="B83" s="75">
        <v>45756</v>
      </c>
      <c r="C83" s="99" t="s">
        <v>11</v>
      </c>
      <c r="D83" s="99" t="s">
        <v>9</v>
      </c>
      <c r="E83" s="12">
        <v>9</v>
      </c>
      <c r="F83" s="12">
        <v>80.239999999999995</v>
      </c>
      <c r="G83" s="99" t="s">
        <v>10</v>
      </c>
    </row>
    <row r="84" spans="1:7">
      <c r="A84" s="99" t="s">
        <v>102</v>
      </c>
      <c r="B84" s="75">
        <v>45820</v>
      </c>
      <c r="C84" s="99" t="s">
        <v>44</v>
      </c>
      <c r="D84" s="99" t="s">
        <v>23</v>
      </c>
      <c r="E84" s="12">
        <v>8</v>
      </c>
      <c r="F84" s="12">
        <v>106.81</v>
      </c>
      <c r="G84" s="99" t="s">
        <v>10</v>
      </c>
    </row>
    <row r="85" spans="1:7">
      <c r="A85" s="99" t="s">
        <v>103</v>
      </c>
      <c r="B85" s="75">
        <v>45874</v>
      </c>
      <c r="C85" s="99" t="s">
        <v>11</v>
      </c>
      <c r="D85" s="99" t="s">
        <v>15</v>
      </c>
      <c r="E85" s="12">
        <v>7</v>
      </c>
      <c r="G85" s="99" t="s">
        <v>10</v>
      </c>
    </row>
    <row r="86" spans="1:7">
      <c r="A86" s="99" t="s">
        <v>104</v>
      </c>
      <c r="B86" s="75">
        <v>46218</v>
      </c>
      <c r="C86" s="99" t="s">
        <v>8</v>
      </c>
      <c r="D86" s="99" t="s">
        <v>15</v>
      </c>
      <c r="E86" s="12">
        <v>5</v>
      </c>
      <c r="G86" s="99" t="s">
        <v>19</v>
      </c>
    </row>
    <row r="87" spans="1:7">
      <c r="A87" s="99" t="s">
        <v>105</v>
      </c>
      <c r="B87" s="75">
        <v>45768</v>
      </c>
      <c r="C87" s="99" t="s">
        <v>18</v>
      </c>
      <c r="D87" s="99" t="s">
        <v>23</v>
      </c>
      <c r="E87" s="12">
        <v>3</v>
      </c>
      <c r="G87" s="99" t="s">
        <v>10</v>
      </c>
    </row>
    <row r="88" spans="1:7">
      <c r="A88" s="99" t="s">
        <v>106</v>
      </c>
      <c r="B88" s="75">
        <v>45960</v>
      </c>
      <c r="D88" s="99" t="s">
        <v>23</v>
      </c>
      <c r="E88" s="12">
        <v>10</v>
      </c>
      <c r="F88" s="12">
        <v>53.29</v>
      </c>
      <c r="G88" s="99" t="s">
        <v>19</v>
      </c>
    </row>
    <row r="89" spans="1:7">
      <c r="A89" s="99" t="s">
        <v>107</v>
      </c>
      <c r="B89" s="75">
        <v>46045</v>
      </c>
      <c r="C89" s="99" t="s">
        <v>8</v>
      </c>
      <c r="D89" s="99" t="s">
        <v>15</v>
      </c>
      <c r="E89" s="12">
        <v>4</v>
      </c>
      <c r="F89" s="12">
        <v>45.19</v>
      </c>
      <c r="G89" s="99" t="s">
        <v>13</v>
      </c>
    </row>
    <row r="90" spans="1:7">
      <c r="A90" s="99" t="s">
        <v>108</v>
      </c>
      <c r="B90" s="75">
        <v>45753</v>
      </c>
      <c r="C90" s="99" t="s">
        <v>8</v>
      </c>
      <c r="D90" s="99" t="s">
        <v>9</v>
      </c>
      <c r="E90" s="12">
        <v>7</v>
      </c>
      <c r="G90" s="99" t="s">
        <v>10</v>
      </c>
    </row>
    <row r="91" spans="1:7">
      <c r="A91" s="99" t="s">
        <v>39</v>
      </c>
      <c r="B91" s="75">
        <v>45747</v>
      </c>
      <c r="C91" s="99" t="s">
        <v>8</v>
      </c>
      <c r="D91" s="99" t="s">
        <v>9</v>
      </c>
      <c r="E91" s="12">
        <v>4</v>
      </c>
      <c r="F91" s="12">
        <v>41.79</v>
      </c>
      <c r="G91" s="99" t="s">
        <v>29</v>
      </c>
    </row>
    <row r="92" spans="1:7">
      <c r="A92" s="99" t="s">
        <v>109</v>
      </c>
      <c r="B92" s="75">
        <v>45891</v>
      </c>
      <c r="C92" s="99" t="s">
        <v>8</v>
      </c>
      <c r="D92" s="99" t="s">
        <v>9</v>
      </c>
      <c r="E92" s="12">
        <v>4</v>
      </c>
      <c r="G92" s="99" t="s">
        <v>10</v>
      </c>
    </row>
    <row r="93" spans="1:7">
      <c r="A93" s="99" t="s">
        <v>110</v>
      </c>
      <c r="B93" s="75">
        <v>45660</v>
      </c>
      <c r="C93" s="99" t="s">
        <v>18</v>
      </c>
      <c r="D93" s="99" t="s">
        <v>9</v>
      </c>
      <c r="E93" s="12">
        <v>2</v>
      </c>
      <c r="G93" s="99" t="s">
        <v>10</v>
      </c>
    </row>
    <row r="94" spans="1:7">
      <c r="A94" s="99" t="s">
        <v>111</v>
      </c>
      <c r="B94" s="75">
        <v>46227</v>
      </c>
      <c r="C94" s="99" t="s">
        <v>8</v>
      </c>
      <c r="D94" s="99" t="s">
        <v>9</v>
      </c>
      <c r="E94" s="12">
        <v>5</v>
      </c>
      <c r="F94" s="12">
        <v>52.72</v>
      </c>
      <c r="G94" s="99" t="s">
        <v>10</v>
      </c>
    </row>
    <row r="95" spans="1:7">
      <c r="A95" s="99" t="s">
        <v>112</v>
      </c>
      <c r="B95" s="75">
        <v>45997</v>
      </c>
      <c r="C95" s="99" t="s">
        <v>113</v>
      </c>
      <c r="D95" s="99" t="s">
        <v>9</v>
      </c>
      <c r="E95" s="12">
        <v>7</v>
      </c>
      <c r="F95" s="12">
        <v>48.65</v>
      </c>
      <c r="G95" s="99" t="s">
        <v>29</v>
      </c>
    </row>
    <row r="96" spans="1:7">
      <c r="A96" s="99" t="s">
        <v>114</v>
      </c>
      <c r="B96" s="75">
        <v>45787</v>
      </c>
      <c r="C96" s="99" t="s">
        <v>18</v>
      </c>
      <c r="D96" s="99" t="s">
        <v>15</v>
      </c>
      <c r="E96" s="12">
        <v>2</v>
      </c>
      <c r="F96" s="12">
        <v>122.31</v>
      </c>
    </row>
    <row r="97" spans="1:7">
      <c r="A97" s="99" t="s">
        <v>115</v>
      </c>
      <c r="B97" s="75">
        <v>45936</v>
      </c>
      <c r="C97" s="99" t="s">
        <v>8</v>
      </c>
      <c r="D97" s="99" t="s">
        <v>23</v>
      </c>
      <c r="E97" s="12">
        <v>3</v>
      </c>
      <c r="F97" s="12">
        <v>51.02</v>
      </c>
      <c r="G97" s="99" t="s">
        <v>10</v>
      </c>
    </row>
    <row r="98" spans="1:7">
      <c r="A98" s="99" t="s">
        <v>116</v>
      </c>
      <c r="B98" s="75">
        <v>46231</v>
      </c>
      <c r="C98" s="99" t="s">
        <v>44</v>
      </c>
      <c r="D98" s="99" t="s">
        <v>23</v>
      </c>
      <c r="E98" s="12">
        <v>6</v>
      </c>
      <c r="F98" s="12">
        <v>104.17</v>
      </c>
      <c r="G98" s="99" t="s">
        <v>10</v>
      </c>
    </row>
    <row r="99" spans="1:7">
      <c r="A99" s="99" t="s">
        <v>117</v>
      </c>
      <c r="B99" s="75">
        <v>45985</v>
      </c>
      <c r="C99" s="99" t="s">
        <v>8</v>
      </c>
      <c r="D99" s="99" t="s">
        <v>9</v>
      </c>
      <c r="E99" s="12">
        <v>9</v>
      </c>
      <c r="F99" s="12">
        <v>51.18</v>
      </c>
      <c r="G99" s="99" t="s">
        <v>19</v>
      </c>
    </row>
    <row r="100" spans="1:7">
      <c r="A100" s="99" t="s">
        <v>118</v>
      </c>
      <c r="B100" s="75" t="s">
        <v>69</v>
      </c>
      <c r="C100" s="99" t="s">
        <v>11</v>
      </c>
      <c r="D100" s="99" t="s">
        <v>23</v>
      </c>
      <c r="E100" s="12">
        <v>9</v>
      </c>
      <c r="F100" s="12">
        <v>81.3</v>
      </c>
      <c r="G100" s="99" t="s">
        <v>13</v>
      </c>
    </row>
    <row r="101" spans="1:7">
      <c r="A101" s="99" t="s">
        <v>119</v>
      </c>
      <c r="B101" s="75">
        <v>45806</v>
      </c>
      <c r="C101" s="99" t="s">
        <v>18</v>
      </c>
      <c r="D101" s="99" t="s">
        <v>15</v>
      </c>
      <c r="E101" s="12">
        <v>10</v>
      </c>
      <c r="F101" s="12">
        <v>118.32</v>
      </c>
      <c r="G101" s="99" t="s">
        <v>10</v>
      </c>
    </row>
    <row r="102" spans="1:7">
      <c r="A102" s="99" t="s">
        <v>120</v>
      </c>
      <c r="B102" s="75">
        <v>45788</v>
      </c>
      <c r="C102" s="99" t="s">
        <v>18</v>
      </c>
      <c r="D102" s="99" t="s">
        <v>15</v>
      </c>
      <c r="E102" s="12">
        <v>3</v>
      </c>
      <c r="F102" s="12">
        <v>122.21</v>
      </c>
    </row>
    <row r="103" spans="1:7">
      <c r="A103" s="99" t="s">
        <v>121</v>
      </c>
      <c r="B103" s="75">
        <v>46185</v>
      </c>
      <c r="C103" s="99" t="s">
        <v>11</v>
      </c>
      <c r="D103" s="99" t="s">
        <v>9</v>
      </c>
      <c r="E103" s="12">
        <v>7</v>
      </c>
      <c r="F103" s="12">
        <v>75.23</v>
      </c>
      <c r="G103" s="99" t="s">
        <v>10</v>
      </c>
    </row>
    <row r="104" spans="1:7">
      <c r="A104" s="99" t="s">
        <v>122</v>
      </c>
      <c r="B104" s="75">
        <v>45872</v>
      </c>
      <c r="C104" s="99" t="s">
        <v>11</v>
      </c>
      <c r="D104" s="99" t="s">
        <v>9</v>
      </c>
      <c r="E104" s="12">
        <v>6</v>
      </c>
      <c r="F104" s="12">
        <v>73.56</v>
      </c>
      <c r="G104" s="99" t="s">
        <v>10</v>
      </c>
    </row>
    <row r="105" spans="1:7">
      <c r="A105" s="99" t="s">
        <v>123</v>
      </c>
      <c r="B105" s="75">
        <v>45864</v>
      </c>
      <c r="C105" s="99" t="s">
        <v>8</v>
      </c>
      <c r="D105" s="99" t="s">
        <v>9</v>
      </c>
      <c r="E105" s="12">
        <v>7</v>
      </c>
      <c r="F105" s="12">
        <v>43.04</v>
      </c>
      <c r="G105" s="99" t="s">
        <v>10</v>
      </c>
    </row>
    <row r="106" spans="1:7">
      <c r="A106" s="99" t="s">
        <v>124</v>
      </c>
      <c r="B106" s="75">
        <v>46181</v>
      </c>
      <c r="C106" s="99" t="s">
        <v>44</v>
      </c>
      <c r="D106" s="99" t="s">
        <v>23</v>
      </c>
      <c r="E106" s="12">
        <v>3</v>
      </c>
      <c r="F106" s="12">
        <v>105.56</v>
      </c>
      <c r="G106" s="99" t="s">
        <v>10</v>
      </c>
    </row>
    <row r="107" spans="1:7">
      <c r="A107" s="99" t="s">
        <v>125</v>
      </c>
      <c r="B107" s="75">
        <v>46067</v>
      </c>
      <c r="C107" s="99" t="s">
        <v>8</v>
      </c>
      <c r="D107" s="99" t="s">
        <v>23</v>
      </c>
      <c r="E107" s="12">
        <v>2</v>
      </c>
      <c r="F107" s="12">
        <v>53.39</v>
      </c>
      <c r="G107" s="99" t="s">
        <v>19</v>
      </c>
    </row>
    <row r="108" spans="1:7">
      <c r="B108" s="75">
        <v>45659</v>
      </c>
      <c r="C108" s="99" t="s">
        <v>11</v>
      </c>
      <c r="D108" s="99" t="s">
        <v>9</v>
      </c>
      <c r="E108" s="12">
        <v>6</v>
      </c>
      <c r="F108" s="12">
        <v>67.040000000000006</v>
      </c>
      <c r="G108" s="99" t="s">
        <v>19</v>
      </c>
    </row>
    <row r="109" spans="1:7">
      <c r="A109" s="99" t="s">
        <v>126</v>
      </c>
      <c r="B109" s="75">
        <v>46097</v>
      </c>
      <c r="C109" s="99" t="s">
        <v>8</v>
      </c>
      <c r="D109" s="99" t="s">
        <v>23</v>
      </c>
      <c r="E109" s="12">
        <v>7</v>
      </c>
      <c r="F109" s="12">
        <v>53.26</v>
      </c>
      <c r="G109" s="99" t="s">
        <v>10</v>
      </c>
    </row>
    <row r="110" spans="1:7">
      <c r="A110" s="99" t="s">
        <v>127</v>
      </c>
      <c r="B110" s="75">
        <v>45958</v>
      </c>
      <c r="C110" s="99" t="s">
        <v>11</v>
      </c>
      <c r="D110" s="99" t="s">
        <v>9</v>
      </c>
      <c r="E110" s="12">
        <v>6</v>
      </c>
      <c r="F110" s="12">
        <v>78.98</v>
      </c>
      <c r="G110" s="99" t="s">
        <v>10</v>
      </c>
    </row>
    <row r="111" spans="1:7">
      <c r="A111" s="99" t="s">
        <v>128</v>
      </c>
      <c r="B111" s="75">
        <v>45925</v>
      </c>
      <c r="C111" s="99" t="s">
        <v>8</v>
      </c>
      <c r="D111" s="99" t="s">
        <v>15</v>
      </c>
      <c r="E111" s="12">
        <v>2</v>
      </c>
      <c r="F111" s="12">
        <v>51.48</v>
      </c>
      <c r="G111" s="99" t="s">
        <v>13</v>
      </c>
    </row>
    <row r="112" spans="1:7">
      <c r="B112" s="75">
        <v>45785</v>
      </c>
      <c r="C112" s="99" t="s">
        <v>11</v>
      </c>
      <c r="D112" s="99" t="s">
        <v>9</v>
      </c>
      <c r="E112" s="12">
        <v>3</v>
      </c>
      <c r="F112" s="12">
        <v>79.02</v>
      </c>
      <c r="G112" s="99" t="s">
        <v>13</v>
      </c>
    </row>
    <row r="113" spans="1:7">
      <c r="A113" s="99" t="s">
        <v>129</v>
      </c>
      <c r="B113" s="75">
        <v>45808</v>
      </c>
      <c r="C113" s="99" t="s">
        <v>11</v>
      </c>
      <c r="D113" s="99" t="s">
        <v>9</v>
      </c>
      <c r="E113" s="12">
        <v>1</v>
      </c>
      <c r="F113" s="12">
        <v>67.11</v>
      </c>
      <c r="G113" s="99" t="s">
        <v>10</v>
      </c>
    </row>
    <row r="114" spans="1:7">
      <c r="A114" s="99" t="s">
        <v>130</v>
      </c>
      <c r="B114" s="75">
        <v>46193</v>
      </c>
      <c r="C114" s="99" t="s">
        <v>11</v>
      </c>
      <c r="D114" s="99" t="s">
        <v>9</v>
      </c>
      <c r="E114" s="12">
        <v>7</v>
      </c>
      <c r="F114" s="12">
        <v>78.84</v>
      </c>
      <c r="G114" s="99" t="s">
        <v>10</v>
      </c>
    </row>
    <row r="115" spans="1:7">
      <c r="A115" s="99" t="s">
        <v>131</v>
      </c>
      <c r="B115" s="75">
        <v>45822</v>
      </c>
      <c r="C115" s="99" t="s">
        <v>8</v>
      </c>
      <c r="D115" s="99" t="s">
        <v>9</v>
      </c>
      <c r="E115" s="12">
        <v>5</v>
      </c>
      <c r="F115" s="12">
        <v>44.24</v>
      </c>
      <c r="G115" s="99" t="s">
        <v>10</v>
      </c>
    </row>
    <row r="116" spans="1:7">
      <c r="A116" s="99" t="s">
        <v>132</v>
      </c>
      <c r="B116" s="75">
        <v>46218</v>
      </c>
      <c r="C116" s="99" t="s">
        <v>44</v>
      </c>
      <c r="D116" s="99" t="s">
        <v>23</v>
      </c>
      <c r="E116" s="12">
        <v>4</v>
      </c>
      <c r="F116" s="12">
        <v>89.93</v>
      </c>
      <c r="G116" s="99" t="s">
        <v>10</v>
      </c>
    </row>
    <row r="117" spans="1:7">
      <c r="A117" s="99" t="s">
        <v>133</v>
      </c>
      <c r="B117" s="75">
        <v>46160</v>
      </c>
      <c r="D117" s="99" t="s">
        <v>23</v>
      </c>
      <c r="E117" s="12">
        <v>4</v>
      </c>
      <c r="F117" s="12">
        <v>43.79</v>
      </c>
      <c r="G117" s="99" t="s">
        <v>10</v>
      </c>
    </row>
    <row r="118" spans="1:7">
      <c r="A118" s="99" t="s">
        <v>134</v>
      </c>
      <c r="B118" s="75">
        <v>46049</v>
      </c>
      <c r="C118" s="99" t="s">
        <v>8</v>
      </c>
      <c r="D118" s="99" t="s">
        <v>23</v>
      </c>
      <c r="E118" s="12">
        <v>4</v>
      </c>
      <c r="F118" s="12">
        <v>55.13</v>
      </c>
      <c r="G118" s="99" t="s">
        <v>29</v>
      </c>
    </row>
    <row r="119" spans="1:7">
      <c r="A119" s="99" t="s">
        <v>135</v>
      </c>
      <c r="B119" s="75">
        <v>46046</v>
      </c>
      <c r="C119" s="99" t="s">
        <v>11</v>
      </c>
      <c r="D119" s="99" t="s">
        <v>23</v>
      </c>
      <c r="E119" s="12">
        <v>1</v>
      </c>
      <c r="F119" s="12">
        <v>85.31</v>
      </c>
      <c r="G119" s="99" t="s">
        <v>10</v>
      </c>
    </row>
    <row r="120" spans="1:7">
      <c r="A120" s="99" t="s">
        <v>136</v>
      </c>
      <c r="B120" s="75">
        <v>45803</v>
      </c>
      <c r="C120" s="99" t="s">
        <v>18</v>
      </c>
      <c r="D120" s="99" t="s">
        <v>9</v>
      </c>
      <c r="E120" s="12">
        <v>5</v>
      </c>
      <c r="F120" s="12">
        <v>525</v>
      </c>
      <c r="G120" s="99" t="s">
        <v>13</v>
      </c>
    </row>
    <row r="121" spans="1:7">
      <c r="A121" s="99" t="s">
        <v>137</v>
      </c>
      <c r="B121" s="75">
        <v>45670</v>
      </c>
      <c r="C121" s="99" t="s">
        <v>11</v>
      </c>
      <c r="D121" s="99" t="s">
        <v>23</v>
      </c>
      <c r="E121" s="12">
        <v>9</v>
      </c>
      <c r="F121" s="12">
        <v>72.64</v>
      </c>
      <c r="G121" s="99" t="s">
        <v>19</v>
      </c>
    </row>
    <row r="122" spans="1:7">
      <c r="A122" s="99" t="s">
        <v>138</v>
      </c>
      <c r="B122" s="75">
        <v>45956</v>
      </c>
      <c r="C122" s="99" t="s">
        <v>8</v>
      </c>
      <c r="D122" s="99" t="s">
        <v>15</v>
      </c>
      <c r="E122" s="12">
        <v>4</v>
      </c>
      <c r="F122" s="12">
        <v>43.88</v>
      </c>
      <c r="G122" s="99" t="s">
        <v>10</v>
      </c>
    </row>
    <row r="123" spans="1:7">
      <c r="A123" s="99" t="s">
        <v>139</v>
      </c>
      <c r="B123" s="75">
        <v>45945</v>
      </c>
      <c r="C123" s="99" t="s">
        <v>18</v>
      </c>
      <c r="D123" s="99" t="s">
        <v>15</v>
      </c>
      <c r="E123" s="12">
        <v>3</v>
      </c>
      <c r="F123" s="12">
        <v>120.02</v>
      </c>
      <c r="G123" s="99" t="s">
        <v>29</v>
      </c>
    </row>
    <row r="124" spans="1:7">
      <c r="A124" s="99" t="s">
        <v>140</v>
      </c>
      <c r="B124" s="75">
        <v>46157</v>
      </c>
      <c r="C124" s="99" t="s">
        <v>8</v>
      </c>
      <c r="D124" s="99" t="s">
        <v>9</v>
      </c>
      <c r="E124" s="12">
        <v>9</v>
      </c>
      <c r="F124" s="12">
        <v>40.83</v>
      </c>
      <c r="G124" s="99" t="s">
        <v>10</v>
      </c>
    </row>
    <row r="125" spans="1:7">
      <c r="A125" s="99" t="s">
        <v>141</v>
      </c>
      <c r="B125" s="75">
        <v>45725</v>
      </c>
      <c r="C125" s="99" t="s">
        <v>8</v>
      </c>
      <c r="D125" s="99" t="s">
        <v>9</v>
      </c>
      <c r="F125" s="12">
        <v>54.83</v>
      </c>
      <c r="G125" s="99" t="s">
        <v>19</v>
      </c>
    </row>
    <row r="126" spans="1:7">
      <c r="A126" s="99" t="s">
        <v>142</v>
      </c>
      <c r="B126" s="75">
        <v>45773</v>
      </c>
      <c r="C126" s="99" t="s">
        <v>8</v>
      </c>
      <c r="D126" s="99" t="s">
        <v>9</v>
      </c>
      <c r="E126" s="12">
        <v>10</v>
      </c>
      <c r="G126" s="99" t="s">
        <v>10</v>
      </c>
    </row>
    <row r="127" spans="1:7">
      <c r="A127" s="99" t="s">
        <v>143</v>
      </c>
      <c r="B127" s="75">
        <v>45986</v>
      </c>
      <c r="C127" s="99" t="s">
        <v>8</v>
      </c>
      <c r="D127" s="99" t="s">
        <v>9</v>
      </c>
      <c r="E127" s="12">
        <v>8</v>
      </c>
      <c r="F127" s="12">
        <v>40.78</v>
      </c>
      <c r="G127" s="99" t="s">
        <v>29</v>
      </c>
    </row>
    <row r="128" spans="1:7">
      <c r="A128" s="99" t="s">
        <v>144</v>
      </c>
      <c r="B128" s="75">
        <v>46110</v>
      </c>
      <c r="D128" s="99" t="s">
        <v>23</v>
      </c>
      <c r="E128" s="12">
        <v>10</v>
      </c>
      <c r="F128" s="12">
        <v>70.209999999999994</v>
      </c>
      <c r="G128" s="99" t="s">
        <v>29</v>
      </c>
    </row>
    <row r="129" spans="1:7">
      <c r="A129" s="99" t="s">
        <v>145</v>
      </c>
      <c r="B129" s="75">
        <v>46134</v>
      </c>
      <c r="C129" s="99" t="s">
        <v>18</v>
      </c>
      <c r="D129" s="99" t="s">
        <v>9</v>
      </c>
      <c r="E129" s="12">
        <v>4</v>
      </c>
      <c r="F129" s="12">
        <v>137.35</v>
      </c>
      <c r="G129" s="99" t="s">
        <v>13</v>
      </c>
    </row>
    <row r="130" spans="1:7">
      <c r="A130" s="99" t="s">
        <v>146</v>
      </c>
      <c r="B130" s="75">
        <v>46018</v>
      </c>
      <c r="C130" s="99" t="s">
        <v>11</v>
      </c>
      <c r="D130" s="99" t="s">
        <v>23</v>
      </c>
      <c r="E130" s="12">
        <v>7</v>
      </c>
      <c r="F130" s="12">
        <v>83.56</v>
      </c>
      <c r="G130" s="99" t="s">
        <v>29</v>
      </c>
    </row>
    <row r="131" spans="1:7">
      <c r="B131" s="75">
        <v>45923</v>
      </c>
      <c r="C131" s="99" t="s">
        <v>8</v>
      </c>
      <c r="D131" s="99" t="s">
        <v>9</v>
      </c>
      <c r="E131" s="12">
        <v>2</v>
      </c>
      <c r="F131" s="12">
        <v>42.04</v>
      </c>
      <c r="G131" s="99" t="s">
        <v>10</v>
      </c>
    </row>
    <row r="132" spans="1:7">
      <c r="A132" s="99" t="s">
        <v>147</v>
      </c>
      <c r="B132" s="75">
        <v>45893</v>
      </c>
      <c r="C132" s="99" t="s">
        <v>8</v>
      </c>
      <c r="E132" s="12">
        <v>10</v>
      </c>
      <c r="F132" s="12">
        <v>54.4</v>
      </c>
      <c r="G132" s="99" t="s">
        <v>13</v>
      </c>
    </row>
    <row r="133" spans="1:7">
      <c r="A133" s="99" t="s">
        <v>148</v>
      </c>
      <c r="B133" s="75">
        <v>46205</v>
      </c>
      <c r="C133" s="99" t="s">
        <v>8</v>
      </c>
      <c r="D133" s="99" t="s">
        <v>15</v>
      </c>
      <c r="E133" s="12">
        <v>10</v>
      </c>
      <c r="F133" s="12">
        <v>45.65</v>
      </c>
      <c r="G133" s="99" t="s">
        <v>13</v>
      </c>
    </row>
    <row r="134" spans="1:7">
      <c r="A134" s="99" t="s">
        <v>149</v>
      </c>
      <c r="B134" s="75">
        <v>45969</v>
      </c>
      <c r="D134" s="99" t="s">
        <v>23</v>
      </c>
      <c r="E134" s="12">
        <v>1</v>
      </c>
      <c r="F134" s="12">
        <v>54.54</v>
      </c>
      <c r="G134" s="99" t="s">
        <v>19</v>
      </c>
    </row>
    <row r="135" spans="1:7">
      <c r="A135" s="99" t="s">
        <v>150</v>
      </c>
      <c r="B135" s="75">
        <v>46068</v>
      </c>
      <c r="C135" s="99" t="s">
        <v>18</v>
      </c>
      <c r="D135" s="99" t="s">
        <v>15</v>
      </c>
      <c r="E135" s="12">
        <v>2</v>
      </c>
      <c r="F135" s="12">
        <v>141.68</v>
      </c>
      <c r="G135" s="99" t="s">
        <v>10</v>
      </c>
    </row>
    <row r="136" spans="1:7">
      <c r="A136" s="99" t="s">
        <v>151</v>
      </c>
      <c r="B136" s="75">
        <v>46009</v>
      </c>
      <c r="C136" s="99" t="s">
        <v>8</v>
      </c>
      <c r="D136" s="99" t="s">
        <v>15</v>
      </c>
      <c r="F136" s="12">
        <v>55.9</v>
      </c>
      <c r="G136" s="99" t="s">
        <v>10</v>
      </c>
    </row>
    <row r="137" spans="1:7">
      <c r="A137" s="99" t="s">
        <v>152</v>
      </c>
      <c r="B137" s="75">
        <v>45746</v>
      </c>
      <c r="C137" s="99" t="s">
        <v>44</v>
      </c>
      <c r="D137" s="99" t="s">
        <v>23</v>
      </c>
      <c r="E137" s="12">
        <v>10</v>
      </c>
      <c r="F137" s="12">
        <v>90.94</v>
      </c>
      <c r="G137" s="99" t="s">
        <v>19</v>
      </c>
    </row>
    <row r="138" spans="1:7">
      <c r="A138" s="99" t="s">
        <v>153</v>
      </c>
      <c r="B138" s="75">
        <v>45735</v>
      </c>
      <c r="C138" s="99" t="s">
        <v>8</v>
      </c>
      <c r="E138" s="12">
        <v>6</v>
      </c>
      <c r="F138" s="12">
        <v>52.39</v>
      </c>
      <c r="G138" s="99" t="s">
        <v>13</v>
      </c>
    </row>
    <row r="139" spans="1:7">
      <c r="A139" s="99" t="s">
        <v>154</v>
      </c>
      <c r="B139" s="75">
        <v>45914</v>
      </c>
      <c r="C139" s="99" t="s">
        <v>44</v>
      </c>
      <c r="D139" s="99" t="s">
        <v>15</v>
      </c>
      <c r="E139" s="12">
        <v>10</v>
      </c>
      <c r="F139" s="12">
        <v>114.14</v>
      </c>
      <c r="G139" s="99" t="s">
        <v>13</v>
      </c>
    </row>
    <row r="140" spans="1:7">
      <c r="A140" s="99" t="s">
        <v>155</v>
      </c>
      <c r="B140" s="75">
        <v>46110</v>
      </c>
      <c r="C140" s="99" t="s">
        <v>8</v>
      </c>
      <c r="D140" s="99" t="s">
        <v>9</v>
      </c>
      <c r="E140" s="12">
        <v>5</v>
      </c>
      <c r="G140" s="99" t="s">
        <v>19</v>
      </c>
    </row>
    <row r="141" spans="1:7">
      <c r="A141" s="99" t="s">
        <v>156</v>
      </c>
      <c r="B141" s="75">
        <v>45952</v>
      </c>
      <c r="C141" s="99" t="s">
        <v>113</v>
      </c>
      <c r="D141" s="99" t="s">
        <v>23</v>
      </c>
      <c r="E141" s="12">
        <v>7</v>
      </c>
      <c r="F141" s="12">
        <v>43.27</v>
      </c>
      <c r="G141" s="99" t="s">
        <v>10</v>
      </c>
    </row>
    <row r="142" spans="1:7">
      <c r="A142" s="99" t="s">
        <v>157</v>
      </c>
      <c r="B142" s="75">
        <v>45703</v>
      </c>
      <c r="C142" s="99" t="s">
        <v>11</v>
      </c>
      <c r="D142" s="99" t="s">
        <v>15</v>
      </c>
      <c r="F142" s="12">
        <v>82.64</v>
      </c>
      <c r="G142" s="99" t="s">
        <v>13</v>
      </c>
    </row>
    <row r="143" spans="1:7">
      <c r="A143" s="99" t="s">
        <v>158</v>
      </c>
      <c r="B143" s="75">
        <v>45800</v>
      </c>
      <c r="C143" s="99" t="s">
        <v>8</v>
      </c>
      <c r="D143" s="99" t="s">
        <v>23</v>
      </c>
      <c r="E143" s="12">
        <v>2</v>
      </c>
      <c r="F143" s="12">
        <v>44.3</v>
      </c>
    </row>
    <row r="144" spans="1:7">
      <c r="A144" s="99" t="s">
        <v>159</v>
      </c>
      <c r="B144" s="75">
        <v>46167</v>
      </c>
      <c r="C144" s="99" t="s">
        <v>8</v>
      </c>
      <c r="D144" s="99" t="s">
        <v>9</v>
      </c>
      <c r="E144" s="12">
        <v>5</v>
      </c>
      <c r="F144" s="12">
        <v>54.21</v>
      </c>
      <c r="G144" s="99" t="s">
        <v>10</v>
      </c>
    </row>
    <row r="145" spans="1:7">
      <c r="A145" s="99" t="s">
        <v>160</v>
      </c>
      <c r="B145" s="75">
        <v>45667</v>
      </c>
      <c r="C145" s="99" t="s">
        <v>44</v>
      </c>
      <c r="D145" s="99" t="s">
        <v>23</v>
      </c>
      <c r="E145" s="12">
        <v>6</v>
      </c>
      <c r="F145" s="12">
        <v>515</v>
      </c>
      <c r="G145" s="99" t="s">
        <v>10</v>
      </c>
    </row>
    <row r="146" spans="1:7">
      <c r="A146" s="99" t="s">
        <v>161</v>
      </c>
      <c r="C146" s="99" t="s">
        <v>8</v>
      </c>
      <c r="D146" s="99" t="s">
        <v>23</v>
      </c>
      <c r="E146" s="12">
        <v>8</v>
      </c>
      <c r="F146" s="12">
        <v>42.39</v>
      </c>
      <c r="G146" s="99" t="s">
        <v>10</v>
      </c>
    </row>
    <row r="147" spans="1:7">
      <c r="A147" s="99" t="s">
        <v>162</v>
      </c>
      <c r="B147" s="75">
        <v>45781</v>
      </c>
      <c r="C147" s="99" t="s">
        <v>44</v>
      </c>
      <c r="D147" s="99" t="s">
        <v>15</v>
      </c>
      <c r="E147" s="12">
        <v>4</v>
      </c>
      <c r="F147" s="12">
        <v>111.06</v>
      </c>
      <c r="G147" s="99" t="s">
        <v>19</v>
      </c>
    </row>
    <row r="148" spans="1:7">
      <c r="A148" s="99" t="s">
        <v>163</v>
      </c>
      <c r="B148" s="75">
        <v>46160</v>
      </c>
      <c r="C148" s="99" t="s">
        <v>8</v>
      </c>
      <c r="D148" s="99" t="s">
        <v>23</v>
      </c>
      <c r="E148" s="12">
        <v>4</v>
      </c>
      <c r="F148" s="12">
        <v>52.33</v>
      </c>
      <c r="G148" s="99" t="s">
        <v>29</v>
      </c>
    </row>
    <row r="149" spans="1:7">
      <c r="A149" s="99" t="s">
        <v>164</v>
      </c>
      <c r="B149" s="75">
        <v>45780</v>
      </c>
      <c r="C149" s="99" t="s">
        <v>8</v>
      </c>
      <c r="D149" s="99" t="s">
        <v>23</v>
      </c>
      <c r="E149" s="12">
        <v>7</v>
      </c>
      <c r="F149" s="12">
        <v>55.55</v>
      </c>
      <c r="G149" s="99" t="s">
        <v>13</v>
      </c>
    </row>
    <row r="150" spans="1:7">
      <c r="A150" s="99" t="s">
        <v>165</v>
      </c>
      <c r="B150" s="75">
        <v>46014</v>
      </c>
      <c r="C150" s="99" t="s">
        <v>11</v>
      </c>
      <c r="E150" s="12">
        <v>8</v>
      </c>
      <c r="F150" s="12">
        <v>64.319999999999993</v>
      </c>
      <c r="G150" s="99" t="s">
        <v>10</v>
      </c>
    </row>
    <row r="151" spans="1:7">
      <c r="A151" s="99" t="s">
        <v>166</v>
      </c>
      <c r="C151" s="99" t="s">
        <v>44</v>
      </c>
      <c r="D151" s="99" t="s">
        <v>9</v>
      </c>
      <c r="E151" s="12">
        <v>1</v>
      </c>
      <c r="F151" s="12">
        <v>103.2</v>
      </c>
      <c r="G151" s="99" t="s">
        <v>13</v>
      </c>
    </row>
    <row r="152" spans="1:7">
      <c r="A152" s="99" t="s">
        <v>167</v>
      </c>
      <c r="B152" s="75">
        <v>46057</v>
      </c>
      <c r="C152" s="99" t="s">
        <v>44</v>
      </c>
      <c r="D152" s="99" t="s">
        <v>9</v>
      </c>
      <c r="E152" s="12">
        <v>3</v>
      </c>
      <c r="F152" s="12">
        <v>108.73</v>
      </c>
      <c r="G152" s="99" t="s">
        <v>19</v>
      </c>
    </row>
    <row r="153" spans="1:7">
      <c r="B153" s="75">
        <v>45888</v>
      </c>
      <c r="C153" s="99" t="s">
        <v>18</v>
      </c>
      <c r="D153" s="99" t="s">
        <v>9</v>
      </c>
      <c r="E153" s="12">
        <v>5</v>
      </c>
      <c r="F153" s="12">
        <v>137.11000000000001</v>
      </c>
      <c r="G153" s="99" t="s">
        <v>29</v>
      </c>
    </row>
    <row r="154" spans="1:7">
      <c r="A154" s="99" t="s">
        <v>168</v>
      </c>
      <c r="B154" s="75">
        <v>45911</v>
      </c>
      <c r="C154" s="99" t="s">
        <v>11</v>
      </c>
      <c r="D154" s="99" t="s">
        <v>9</v>
      </c>
      <c r="E154" s="12">
        <v>7</v>
      </c>
      <c r="F154" s="12">
        <v>85.32</v>
      </c>
    </row>
    <row r="155" spans="1:7">
      <c r="A155" s="99" t="s">
        <v>169</v>
      </c>
      <c r="B155" s="75">
        <v>46150</v>
      </c>
      <c r="D155" s="99" t="s">
        <v>9</v>
      </c>
      <c r="E155" s="12">
        <v>7</v>
      </c>
      <c r="F155" s="12">
        <v>44.26</v>
      </c>
      <c r="G155" s="99" t="s">
        <v>10</v>
      </c>
    </row>
    <row r="156" spans="1:7">
      <c r="A156" s="99" t="s">
        <v>170</v>
      </c>
      <c r="B156" s="75">
        <v>45893</v>
      </c>
      <c r="C156" s="99" t="s">
        <v>11</v>
      </c>
      <c r="D156" s="99" t="s">
        <v>23</v>
      </c>
      <c r="E156" s="12">
        <v>1</v>
      </c>
      <c r="F156" s="12">
        <v>84.69</v>
      </c>
      <c r="G156" s="99" t="s">
        <v>10</v>
      </c>
    </row>
    <row r="157" spans="1:7">
      <c r="A157" s="99" t="s">
        <v>171</v>
      </c>
      <c r="B157" s="75">
        <v>46132</v>
      </c>
      <c r="C157" s="99" t="s">
        <v>44</v>
      </c>
      <c r="D157" s="99" t="s">
        <v>9</v>
      </c>
      <c r="E157" s="12">
        <v>5</v>
      </c>
      <c r="F157" s="12">
        <v>110.74</v>
      </c>
      <c r="G157" s="99" t="s">
        <v>10</v>
      </c>
    </row>
    <row r="158" spans="1:7">
      <c r="A158" s="99" t="s">
        <v>172</v>
      </c>
      <c r="B158" s="75">
        <v>45931</v>
      </c>
      <c r="C158" s="99" t="s">
        <v>8</v>
      </c>
      <c r="D158" s="99" t="s">
        <v>23</v>
      </c>
      <c r="E158" s="12">
        <v>4</v>
      </c>
      <c r="F158" s="12">
        <v>43.46</v>
      </c>
    </row>
    <row r="159" spans="1:7">
      <c r="A159" s="99" t="s">
        <v>173</v>
      </c>
      <c r="B159" s="75">
        <v>45896</v>
      </c>
      <c r="C159" s="99" t="s">
        <v>44</v>
      </c>
      <c r="D159" s="99" t="s">
        <v>9</v>
      </c>
      <c r="E159" s="12">
        <v>6</v>
      </c>
      <c r="F159" s="12">
        <v>102.65</v>
      </c>
      <c r="G159" s="99" t="s">
        <v>10</v>
      </c>
    </row>
    <row r="160" spans="1:7">
      <c r="A160" s="99" t="s">
        <v>24</v>
      </c>
      <c r="B160" s="75">
        <v>45697</v>
      </c>
      <c r="C160" s="99" t="s">
        <v>8</v>
      </c>
      <c r="D160" s="99" t="s">
        <v>9</v>
      </c>
      <c r="E160" s="12">
        <v>3</v>
      </c>
      <c r="F160" s="12">
        <v>41.85</v>
      </c>
      <c r="G160" s="99" t="s">
        <v>10</v>
      </c>
    </row>
    <row r="161" spans="1:7">
      <c r="A161" s="99" t="s">
        <v>174</v>
      </c>
      <c r="B161" s="75">
        <v>46027</v>
      </c>
      <c r="C161" s="99" t="s">
        <v>8</v>
      </c>
      <c r="D161" s="99" t="s">
        <v>9</v>
      </c>
      <c r="E161" s="12">
        <v>3</v>
      </c>
      <c r="F161" s="12">
        <v>48.88</v>
      </c>
      <c r="G161" s="99" t="s">
        <v>19</v>
      </c>
    </row>
    <row r="162" spans="1:7">
      <c r="A162" s="99" t="s">
        <v>175</v>
      </c>
      <c r="B162" s="75">
        <v>45913</v>
      </c>
      <c r="C162" s="99" t="s">
        <v>44</v>
      </c>
      <c r="D162" s="99" t="s">
        <v>23</v>
      </c>
      <c r="E162" s="12">
        <v>1</v>
      </c>
      <c r="F162" s="12">
        <v>105.56</v>
      </c>
      <c r="G162" s="99" t="s">
        <v>10</v>
      </c>
    </row>
    <row r="163" spans="1:7">
      <c r="A163" s="99" t="s">
        <v>176</v>
      </c>
      <c r="B163" s="75">
        <v>45671</v>
      </c>
      <c r="C163" s="99" t="s">
        <v>8</v>
      </c>
      <c r="D163" s="99" t="s">
        <v>23</v>
      </c>
      <c r="E163" s="12">
        <v>2</v>
      </c>
      <c r="F163" s="12">
        <v>51.91</v>
      </c>
      <c r="G163" s="99" t="s">
        <v>13</v>
      </c>
    </row>
    <row r="164" spans="1:7">
      <c r="A164" s="99" t="s">
        <v>177</v>
      </c>
      <c r="B164" s="75">
        <v>45841</v>
      </c>
      <c r="C164" s="99" t="s">
        <v>8</v>
      </c>
      <c r="D164" s="99" t="s">
        <v>23</v>
      </c>
      <c r="E164" s="12">
        <v>3</v>
      </c>
      <c r="F164" s="12">
        <v>43.94</v>
      </c>
      <c r="G164" s="99" t="s">
        <v>10</v>
      </c>
    </row>
    <row r="165" spans="1:7">
      <c r="A165" s="99" t="s">
        <v>178</v>
      </c>
      <c r="B165" s="75">
        <v>46231</v>
      </c>
      <c r="C165" s="99" t="s">
        <v>113</v>
      </c>
      <c r="D165" s="99" t="s">
        <v>9</v>
      </c>
      <c r="E165" s="12">
        <v>1</v>
      </c>
      <c r="F165" s="12">
        <v>43.28</v>
      </c>
      <c r="G165" s="99" t="s">
        <v>10</v>
      </c>
    </row>
    <row r="166" spans="1:7">
      <c r="A166" s="99" t="s">
        <v>179</v>
      </c>
      <c r="B166" s="75">
        <v>45785</v>
      </c>
      <c r="C166" s="99" t="s">
        <v>11</v>
      </c>
      <c r="D166" s="99" t="s">
        <v>9</v>
      </c>
      <c r="F166" s="12">
        <v>77.209999999999994</v>
      </c>
      <c r="G166" s="99" t="s">
        <v>19</v>
      </c>
    </row>
    <row r="167" spans="1:7">
      <c r="A167" s="99" t="s">
        <v>180</v>
      </c>
      <c r="B167" s="75">
        <v>45951</v>
      </c>
      <c r="C167" s="99" t="s">
        <v>11</v>
      </c>
      <c r="D167" s="99" t="s">
        <v>9</v>
      </c>
      <c r="E167" s="12">
        <v>10</v>
      </c>
      <c r="F167" s="12">
        <v>86.13</v>
      </c>
      <c r="G167" s="99" t="s">
        <v>29</v>
      </c>
    </row>
    <row r="168" spans="1:7">
      <c r="A168" s="99" t="s">
        <v>181</v>
      </c>
      <c r="C168" s="99" t="s">
        <v>8</v>
      </c>
      <c r="D168" s="99" t="s">
        <v>23</v>
      </c>
      <c r="E168" s="12">
        <v>6</v>
      </c>
      <c r="F168" s="12">
        <v>43.86</v>
      </c>
      <c r="G168" s="99" t="s">
        <v>29</v>
      </c>
    </row>
    <row r="169" spans="1:7">
      <c r="A169" s="99" t="s">
        <v>182</v>
      </c>
      <c r="B169" s="75">
        <v>45889</v>
      </c>
      <c r="C169" s="99" t="s">
        <v>8</v>
      </c>
      <c r="D169" s="99" t="s">
        <v>23</v>
      </c>
      <c r="E169" s="12">
        <v>4</v>
      </c>
      <c r="G169" s="99" t="s">
        <v>29</v>
      </c>
    </row>
    <row r="170" spans="1:7">
      <c r="A170" s="99" t="s">
        <v>183</v>
      </c>
      <c r="B170" s="75">
        <v>46034</v>
      </c>
      <c r="C170" s="99" t="s">
        <v>11</v>
      </c>
      <c r="D170" s="99" t="s">
        <v>23</v>
      </c>
      <c r="E170" s="12">
        <v>6</v>
      </c>
      <c r="F170" s="12">
        <v>72.790000000000006</v>
      </c>
      <c r="G170" s="99" t="s">
        <v>10</v>
      </c>
    </row>
    <row r="171" spans="1:7">
      <c r="A171" s="99" t="s">
        <v>184</v>
      </c>
      <c r="B171" s="75">
        <v>45868</v>
      </c>
      <c r="C171" s="99" t="s">
        <v>8</v>
      </c>
      <c r="E171" s="12">
        <v>4</v>
      </c>
      <c r="F171" s="12">
        <v>49.74</v>
      </c>
      <c r="G171" s="99" t="s">
        <v>13</v>
      </c>
    </row>
    <row r="172" spans="1:7">
      <c r="A172" s="99" t="s">
        <v>185</v>
      </c>
      <c r="B172" s="75">
        <v>45763</v>
      </c>
      <c r="C172" s="99" t="s">
        <v>8</v>
      </c>
      <c r="D172" s="99" t="s">
        <v>9</v>
      </c>
      <c r="E172" s="12">
        <v>5</v>
      </c>
      <c r="F172" s="12">
        <v>50.34</v>
      </c>
      <c r="G172" s="99" t="s">
        <v>10</v>
      </c>
    </row>
    <row r="173" spans="1:7">
      <c r="A173" s="99" t="s">
        <v>186</v>
      </c>
      <c r="B173" s="75">
        <v>46174</v>
      </c>
      <c r="C173" s="99" t="s">
        <v>44</v>
      </c>
      <c r="D173" s="99" t="s">
        <v>15</v>
      </c>
      <c r="E173" s="12">
        <v>2</v>
      </c>
      <c r="F173" s="12">
        <v>113.64</v>
      </c>
      <c r="G173" s="99" t="s">
        <v>19</v>
      </c>
    </row>
    <row r="174" spans="1:7">
      <c r="A174" s="99" t="s">
        <v>187</v>
      </c>
      <c r="B174" s="75">
        <v>46057</v>
      </c>
      <c r="C174" s="99" t="s">
        <v>18</v>
      </c>
      <c r="D174" s="99" t="s">
        <v>9</v>
      </c>
      <c r="E174" s="12">
        <v>7</v>
      </c>
      <c r="F174" s="12">
        <v>138.74</v>
      </c>
      <c r="G174" s="99" t="s">
        <v>10</v>
      </c>
    </row>
    <row r="175" spans="1:7">
      <c r="B175" s="75">
        <v>45769</v>
      </c>
      <c r="C175" s="99" t="s">
        <v>44</v>
      </c>
      <c r="D175" s="99" t="s">
        <v>9</v>
      </c>
      <c r="E175" s="12">
        <v>1</v>
      </c>
      <c r="F175" s="12">
        <v>96.26</v>
      </c>
      <c r="G175" s="99" t="s">
        <v>13</v>
      </c>
    </row>
    <row r="176" spans="1:7">
      <c r="A176" s="99" t="s">
        <v>188</v>
      </c>
      <c r="B176" s="75">
        <v>45990</v>
      </c>
      <c r="C176" s="99" t="s">
        <v>44</v>
      </c>
      <c r="D176" s="99" t="s">
        <v>15</v>
      </c>
      <c r="E176" s="12">
        <v>9</v>
      </c>
      <c r="F176" s="12">
        <v>109.76</v>
      </c>
      <c r="G176" s="99" t="s">
        <v>19</v>
      </c>
    </row>
    <row r="177" spans="1:7">
      <c r="A177" s="99" t="s">
        <v>189</v>
      </c>
      <c r="B177" s="75">
        <v>45912</v>
      </c>
      <c r="C177" s="99" t="s">
        <v>190</v>
      </c>
      <c r="D177" s="99" t="s">
        <v>9</v>
      </c>
      <c r="E177" s="12">
        <v>4</v>
      </c>
      <c r="F177" s="12">
        <v>74</v>
      </c>
      <c r="G177" s="99" t="s">
        <v>19</v>
      </c>
    </row>
    <row r="178" spans="1:7">
      <c r="B178" s="75">
        <v>45947</v>
      </c>
      <c r="C178" s="99" t="s">
        <v>44</v>
      </c>
      <c r="D178" s="99" t="s">
        <v>9</v>
      </c>
      <c r="E178" s="12">
        <v>8</v>
      </c>
      <c r="F178" s="12">
        <v>99.22</v>
      </c>
      <c r="G178" s="99" t="s">
        <v>191</v>
      </c>
    </row>
    <row r="179" spans="1:7">
      <c r="A179" s="99" t="s">
        <v>192</v>
      </c>
      <c r="B179" s="75">
        <v>46056</v>
      </c>
      <c r="C179" s="99" t="s">
        <v>11</v>
      </c>
      <c r="D179" s="99" t="s">
        <v>23</v>
      </c>
      <c r="E179" s="12">
        <v>7</v>
      </c>
      <c r="F179" s="12">
        <v>75.13</v>
      </c>
      <c r="G179" s="99" t="s">
        <v>13</v>
      </c>
    </row>
    <row r="180" spans="1:7">
      <c r="A180" s="99" t="s">
        <v>193</v>
      </c>
      <c r="B180" s="75">
        <v>45750</v>
      </c>
      <c r="C180" s="99" t="s">
        <v>11</v>
      </c>
      <c r="D180" s="99" t="s">
        <v>23</v>
      </c>
      <c r="E180" s="12">
        <v>4</v>
      </c>
      <c r="G180" s="99" t="s">
        <v>10</v>
      </c>
    </row>
    <row r="181" spans="1:7">
      <c r="A181" s="99" t="s">
        <v>193</v>
      </c>
      <c r="B181" s="75">
        <v>45750</v>
      </c>
      <c r="C181" s="99" t="s">
        <v>11</v>
      </c>
      <c r="E181" s="12">
        <v>4</v>
      </c>
      <c r="F181" s="12">
        <v>87.34</v>
      </c>
      <c r="G181" s="99" t="s">
        <v>95</v>
      </c>
    </row>
    <row r="182" spans="1:7">
      <c r="A182" s="99" t="s">
        <v>194</v>
      </c>
      <c r="B182" s="75">
        <v>46086</v>
      </c>
      <c r="C182" s="99" t="s">
        <v>8</v>
      </c>
      <c r="D182" s="99" t="s">
        <v>23</v>
      </c>
      <c r="E182" s="12">
        <v>4</v>
      </c>
      <c r="F182" s="12">
        <v>53.73</v>
      </c>
      <c r="G182" s="99" t="s">
        <v>10</v>
      </c>
    </row>
    <row r="183" spans="1:7">
      <c r="A183" s="99" t="s">
        <v>195</v>
      </c>
      <c r="B183" s="75">
        <v>45711</v>
      </c>
      <c r="C183" s="99" t="s">
        <v>8</v>
      </c>
      <c r="E183" s="12">
        <v>4</v>
      </c>
      <c r="F183" s="12">
        <v>56.04</v>
      </c>
      <c r="G183" s="99" t="s">
        <v>13</v>
      </c>
    </row>
    <row r="184" spans="1:7">
      <c r="A184" s="99" t="s">
        <v>196</v>
      </c>
      <c r="B184" s="75">
        <v>45756</v>
      </c>
      <c r="C184" s="99" t="s">
        <v>11</v>
      </c>
      <c r="D184" s="99" t="s">
        <v>9</v>
      </c>
      <c r="E184" s="12">
        <v>9</v>
      </c>
      <c r="F184" s="12">
        <v>74.17</v>
      </c>
      <c r="G184" s="99" t="s">
        <v>19</v>
      </c>
    </row>
    <row r="185" spans="1:7">
      <c r="A185" s="99" t="s">
        <v>197</v>
      </c>
      <c r="B185" s="75">
        <v>46089</v>
      </c>
      <c r="C185" s="99" t="s">
        <v>18</v>
      </c>
      <c r="D185" s="99" t="s">
        <v>9</v>
      </c>
      <c r="E185" s="12">
        <v>9</v>
      </c>
      <c r="F185" s="12">
        <v>109.12</v>
      </c>
      <c r="G185" s="99" t="s">
        <v>13</v>
      </c>
    </row>
    <row r="186" spans="1:7">
      <c r="A186" s="99" t="s">
        <v>198</v>
      </c>
      <c r="B186" s="75">
        <v>46225</v>
      </c>
      <c r="C186" s="99" t="s">
        <v>8</v>
      </c>
      <c r="D186" s="99" t="s">
        <v>9</v>
      </c>
      <c r="E186" s="12">
        <v>7</v>
      </c>
      <c r="F186" s="12">
        <v>47.51</v>
      </c>
      <c r="G186" s="99" t="s">
        <v>10</v>
      </c>
    </row>
    <row r="187" spans="1:7">
      <c r="A187" s="99" t="s">
        <v>199</v>
      </c>
      <c r="B187" s="75">
        <v>45793</v>
      </c>
      <c r="C187" s="99" t="s">
        <v>11</v>
      </c>
      <c r="D187" s="99" t="s">
        <v>23</v>
      </c>
      <c r="E187" s="12">
        <v>10</v>
      </c>
      <c r="F187" s="12">
        <v>77.12</v>
      </c>
      <c r="G187" s="99" t="s">
        <v>19</v>
      </c>
    </row>
    <row r="188" spans="1:7">
      <c r="A188" s="99" t="s">
        <v>200</v>
      </c>
      <c r="B188" s="75">
        <v>45958</v>
      </c>
      <c r="C188" s="99" t="s">
        <v>8</v>
      </c>
      <c r="D188" s="99" t="s">
        <v>9</v>
      </c>
      <c r="E188" s="12">
        <v>10</v>
      </c>
      <c r="F188" s="12">
        <v>40.98</v>
      </c>
      <c r="G188" s="99" t="s">
        <v>10</v>
      </c>
    </row>
    <row r="189" spans="1:7">
      <c r="A189" s="99" t="s">
        <v>201</v>
      </c>
      <c r="B189" s="75">
        <v>45703</v>
      </c>
      <c r="C189" s="99" t="s">
        <v>11</v>
      </c>
      <c r="D189" s="99" t="s">
        <v>9</v>
      </c>
      <c r="E189" s="12">
        <v>10</v>
      </c>
      <c r="F189" s="12">
        <v>77.97</v>
      </c>
      <c r="G189" s="99" t="s">
        <v>10</v>
      </c>
    </row>
    <row r="190" spans="1:7">
      <c r="A190" s="99" t="s">
        <v>202</v>
      </c>
      <c r="C190" s="99" t="s">
        <v>11</v>
      </c>
      <c r="D190" s="99" t="s">
        <v>15</v>
      </c>
      <c r="E190" s="12">
        <v>9</v>
      </c>
      <c r="F190" s="12">
        <v>84.91</v>
      </c>
      <c r="G190" s="99" t="s">
        <v>10</v>
      </c>
    </row>
    <row r="191" spans="1:7">
      <c r="A191" s="99" t="s">
        <v>203</v>
      </c>
      <c r="B191" s="75">
        <v>46015</v>
      </c>
      <c r="C191" s="99" t="s">
        <v>8</v>
      </c>
      <c r="D191" s="99" t="s">
        <v>23</v>
      </c>
      <c r="E191" s="12">
        <v>8</v>
      </c>
      <c r="F191" s="12">
        <v>43.61</v>
      </c>
      <c r="G191" s="99" t="s">
        <v>19</v>
      </c>
    </row>
    <row r="192" spans="1:7">
      <c r="A192" s="99" t="s">
        <v>204</v>
      </c>
      <c r="C192" s="99" t="s">
        <v>11</v>
      </c>
      <c r="D192" s="99" t="s">
        <v>23</v>
      </c>
      <c r="E192" s="12">
        <v>1</v>
      </c>
      <c r="F192" s="12">
        <v>77.53</v>
      </c>
      <c r="G192" s="99" t="s">
        <v>19</v>
      </c>
    </row>
    <row r="193" spans="1:7">
      <c r="A193" s="99" t="s">
        <v>205</v>
      </c>
      <c r="B193" s="75">
        <v>45971</v>
      </c>
      <c r="D193" s="99" t="s">
        <v>23</v>
      </c>
      <c r="E193" s="12">
        <v>5</v>
      </c>
      <c r="F193" s="12">
        <v>51.59</v>
      </c>
      <c r="G193" s="99" t="s">
        <v>10</v>
      </c>
    </row>
    <row r="194" spans="1:7">
      <c r="A194" s="99" t="s">
        <v>206</v>
      </c>
      <c r="B194" s="75">
        <v>45881</v>
      </c>
      <c r="C194" s="99" t="s">
        <v>8</v>
      </c>
      <c r="D194" s="99" t="s">
        <v>9</v>
      </c>
      <c r="E194" s="12">
        <v>5</v>
      </c>
      <c r="F194" s="12">
        <v>53.02</v>
      </c>
      <c r="G194" s="99" t="s">
        <v>10</v>
      </c>
    </row>
    <row r="195" spans="1:7">
      <c r="A195" s="99" t="s">
        <v>207</v>
      </c>
      <c r="B195" s="75">
        <v>46124</v>
      </c>
      <c r="C195" s="99" t="s">
        <v>8</v>
      </c>
      <c r="D195" s="99" t="s">
        <v>9</v>
      </c>
      <c r="E195" s="12">
        <v>4</v>
      </c>
      <c r="F195" s="12">
        <v>42.88</v>
      </c>
      <c r="G195" s="99" t="s">
        <v>19</v>
      </c>
    </row>
    <row r="196" spans="1:7">
      <c r="A196" s="99" t="s">
        <v>208</v>
      </c>
      <c r="B196" s="75">
        <v>45685</v>
      </c>
      <c r="C196" s="99" t="s">
        <v>8</v>
      </c>
      <c r="D196" s="99" t="s">
        <v>9</v>
      </c>
      <c r="E196" s="12">
        <v>9</v>
      </c>
      <c r="G196" s="99" t="s">
        <v>10</v>
      </c>
    </row>
    <row r="197" spans="1:7">
      <c r="A197" s="99" t="s">
        <v>209</v>
      </c>
      <c r="B197" s="75">
        <v>45815</v>
      </c>
      <c r="C197" s="99" t="s">
        <v>8</v>
      </c>
      <c r="D197" s="99" t="s">
        <v>9</v>
      </c>
      <c r="E197" s="12">
        <v>6</v>
      </c>
      <c r="F197" s="12">
        <v>53.02</v>
      </c>
      <c r="G197" s="99" t="s">
        <v>29</v>
      </c>
    </row>
    <row r="198" spans="1:7">
      <c r="A198" s="99" t="s">
        <v>210</v>
      </c>
      <c r="B198" s="75">
        <v>45916</v>
      </c>
      <c r="C198" s="99" t="s">
        <v>18</v>
      </c>
      <c r="D198" s="99" t="s">
        <v>15</v>
      </c>
      <c r="F198" s="12">
        <v>122.18</v>
      </c>
      <c r="G198" s="99" t="s">
        <v>10</v>
      </c>
    </row>
    <row r="199" spans="1:7">
      <c r="A199" s="99" t="s">
        <v>211</v>
      </c>
      <c r="C199" s="99" t="s">
        <v>8</v>
      </c>
      <c r="D199" s="99" t="s">
        <v>9</v>
      </c>
      <c r="E199" s="12">
        <v>8</v>
      </c>
      <c r="F199" s="12">
        <v>46.48</v>
      </c>
      <c r="G199" s="99" t="s">
        <v>10</v>
      </c>
    </row>
    <row r="200" spans="1:7">
      <c r="A200" s="99" t="s">
        <v>212</v>
      </c>
      <c r="C200" s="99" t="s">
        <v>11</v>
      </c>
      <c r="D200" s="99" t="s">
        <v>23</v>
      </c>
      <c r="E200" s="12">
        <v>10</v>
      </c>
      <c r="F200" s="12">
        <v>66.459999999999994</v>
      </c>
      <c r="G200" s="99" t="s">
        <v>10</v>
      </c>
    </row>
    <row r="201" spans="1:7">
      <c r="A201" s="99" t="s">
        <v>213</v>
      </c>
      <c r="B201" s="75">
        <v>46043</v>
      </c>
      <c r="C201" s="99" t="s">
        <v>8</v>
      </c>
      <c r="D201" s="99" t="s">
        <v>23</v>
      </c>
      <c r="E201" s="12">
        <v>10</v>
      </c>
      <c r="F201" s="12">
        <v>54.98</v>
      </c>
      <c r="G201" s="99" t="s">
        <v>10</v>
      </c>
    </row>
    <row r="202" spans="1:7">
      <c r="A202" s="99" t="s">
        <v>214</v>
      </c>
      <c r="B202" s="75">
        <v>45980</v>
      </c>
      <c r="C202" s="99" t="s">
        <v>11</v>
      </c>
      <c r="D202" s="99" t="s">
        <v>9</v>
      </c>
      <c r="E202" s="12">
        <v>8</v>
      </c>
      <c r="F202" s="12">
        <v>63.07</v>
      </c>
      <c r="G202" s="99" t="s">
        <v>13</v>
      </c>
    </row>
    <row r="203" spans="1:7">
      <c r="A203" s="99" t="s">
        <v>215</v>
      </c>
      <c r="B203" s="75">
        <v>46221</v>
      </c>
      <c r="C203" s="99" t="s">
        <v>11</v>
      </c>
      <c r="D203" s="99" t="s">
        <v>9</v>
      </c>
      <c r="E203" s="12" t="s">
        <v>191</v>
      </c>
      <c r="F203" s="12">
        <v>84.11</v>
      </c>
      <c r="G203" s="99" t="s">
        <v>13</v>
      </c>
    </row>
    <row r="204" spans="1:7">
      <c r="A204" s="99" t="s">
        <v>216</v>
      </c>
      <c r="B204" s="75">
        <v>45952</v>
      </c>
      <c r="C204" s="99" t="s">
        <v>11</v>
      </c>
      <c r="D204" s="99" t="s">
        <v>9</v>
      </c>
      <c r="E204" s="12">
        <v>10</v>
      </c>
      <c r="F204" s="12">
        <v>63.67</v>
      </c>
      <c r="G204" s="99" t="s">
        <v>29</v>
      </c>
    </row>
    <row r="205" spans="1:7">
      <c r="A205" s="99" t="s">
        <v>217</v>
      </c>
      <c r="B205" s="75">
        <v>46054</v>
      </c>
      <c r="C205" s="99" t="s">
        <v>11</v>
      </c>
      <c r="D205" s="99" t="s">
        <v>15</v>
      </c>
      <c r="E205" s="12">
        <v>2</v>
      </c>
      <c r="F205" s="12" t="s">
        <v>99</v>
      </c>
    </row>
    <row r="206" spans="1:7">
      <c r="A206" s="99" t="s">
        <v>218</v>
      </c>
      <c r="C206" s="99" t="s">
        <v>8</v>
      </c>
      <c r="D206" s="99" t="s">
        <v>9</v>
      </c>
      <c r="E206" s="12">
        <v>7</v>
      </c>
      <c r="F206" s="12">
        <v>53.04</v>
      </c>
      <c r="G206" s="99" t="s">
        <v>10</v>
      </c>
    </row>
    <row r="207" spans="1:7">
      <c r="B207" s="75">
        <v>46035</v>
      </c>
      <c r="C207" s="99" t="s">
        <v>8</v>
      </c>
      <c r="D207" s="99" t="s">
        <v>23</v>
      </c>
      <c r="E207" s="12">
        <v>5</v>
      </c>
      <c r="F207" s="12">
        <v>48.97</v>
      </c>
      <c r="G207" s="99" t="s">
        <v>13</v>
      </c>
    </row>
    <row r="208" spans="1:7">
      <c r="A208" s="99" t="s">
        <v>219</v>
      </c>
      <c r="B208" s="75">
        <v>46085</v>
      </c>
      <c r="C208" s="99" t="s">
        <v>18</v>
      </c>
      <c r="D208" s="99" t="s">
        <v>23</v>
      </c>
      <c r="E208" s="12">
        <v>2</v>
      </c>
      <c r="G208" s="99" t="s">
        <v>13</v>
      </c>
    </row>
    <row r="209" spans="1:7">
      <c r="A209" s="99" t="s">
        <v>220</v>
      </c>
      <c r="B209" s="75">
        <v>45956</v>
      </c>
      <c r="C209" s="99" t="s">
        <v>8</v>
      </c>
      <c r="E209" s="12">
        <v>3</v>
      </c>
      <c r="F209" s="12">
        <v>50.72</v>
      </c>
      <c r="G209" s="99" t="s">
        <v>10</v>
      </c>
    </row>
    <row r="210" spans="1:7">
      <c r="A210" s="99" t="s">
        <v>221</v>
      </c>
      <c r="B210" s="75">
        <v>46228</v>
      </c>
      <c r="C210" s="99" t="s">
        <v>11</v>
      </c>
      <c r="D210" s="99" t="s">
        <v>15</v>
      </c>
      <c r="E210" s="12">
        <v>6</v>
      </c>
      <c r="F210" s="12">
        <v>80.11</v>
      </c>
      <c r="G210" s="99" t="s">
        <v>13</v>
      </c>
    </row>
    <row r="211" spans="1:7">
      <c r="A211" s="99" t="s">
        <v>222</v>
      </c>
      <c r="B211" s="75">
        <v>45782</v>
      </c>
      <c r="D211" s="99" t="s">
        <v>9</v>
      </c>
      <c r="E211" s="12">
        <v>8</v>
      </c>
      <c r="F211" s="12">
        <v>82.33</v>
      </c>
      <c r="G211" s="99" t="s">
        <v>10</v>
      </c>
    </row>
    <row r="212" spans="1:7">
      <c r="A212" s="99" t="s">
        <v>223</v>
      </c>
      <c r="B212" s="75">
        <v>46129</v>
      </c>
      <c r="C212" s="99" t="s">
        <v>11</v>
      </c>
      <c r="D212" s="99" t="s">
        <v>9</v>
      </c>
      <c r="E212" s="12">
        <v>3</v>
      </c>
      <c r="F212" s="12">
        <v>69.52</v>
      </c>
      <c r="G212" s="99" t="s">
        <v>10</v>
      </c>
    </row>
    <row r="213" spans="1:7">
      <c r="A213" s="99" t="s">
        <v>224</v>
      </c>
      <c r="B213" s="75">
        <v>46217</v>
      </c>
      <c r="C213" s="99" t="s">
        <v>8</v>
      </c>
      <c r="D213" s="99" t="s">
        <v>23</v>
      </c>
      <c r="E213" s="12">
        <v>5</v>
      </c>
      <c r="F213" s="12">
        <v>49.47</v>
      </c>
      <c r="G213" s="99" t="s">
        <v>13</v>
      </c>
    </row>
    <row r="214" spans="1:7">
      <c r="B214" s="75">
        <v>45922</v>
      </c>
      <c r="C214" s="99" t="s">
        <v>44</v>
      </c>
      <c r="D214" s="99" t="s">
        <v>9</v>
      </c>
      <c r="E214" s="12">
        <v>9</v>
      </c>
      <c r="F214" s="12">
        <v>106.74</v>
      </c>
      <c r="G214" s="99" t="s">
        <v>10</v>
      </c>
    </row>
    <row r="215" spans="1:7">
      <c r="A215" s="99" t="s">
        <v>225</v>
      </c>
      <c r="B215" s="75">
        <v>46105</v>
      </c>
      <c r="C215" s="99" t="s">
        <v>18</v>
      </c>
      <c r="D215" s="99" t="s">
        <v>9</v>
      </c>
      <c r="E215" s="12">
        <v>1</v>
      </c>
      <c r="F215" s="12">
        <v>143.81</v>
      </c>
      <c r="G215" s="99" t="s">
        <v>10</v>
      </c>
    </row>
    <row r="216" spans="1:7">
      <c r="A216" s="99" t="s">
        <v>226</v>
      </c>
      <c r="B216" s="75">
        <v>45724</v>
      </c>
      <c r="C216" s="99" t="s">
        <v>11</v>
      </c>
      <c r="D216" s="99" t="s">
        <v>15</v>
      </c>
      <c r="F216" s="12">
        <v>81.010000000000005</v>
      </c>
      <c r="G216" s="99" t="s">
        <v>10</v>
      </c>
    </row>
    <row r="217" spans="1:7">
      <c r="A217" s="99" t="s">
        <v>227</v>
      </c>
      <c r="B217" s="75">
        <v>45725</v>
      </c>
      <c r="C217" s="99" t="s">
        <v>11</v>
      </c>
      <c r="D217" s="99" t="s">
        <v>23</v>
      </c>
      <c r="E217" s="12">
        <v>6</v>
      </c>
      <c r="F217" s="12">
        <v>63.39</v>
      </c>
    </row>
    <row r="218" spans="1:7">
      <c r="A218" s="99" t="s">
        <v>228</v>
      </c>
      <c r="B218" s="75">
        <v>46165</v>
      </c>
      <c r="C218" s="99" t="s">
        <v>11</v>
      </c>
      <c r="D218" s="99" t="s">
        <v>9</v>
      </c>
      <c r="E218" s="12">
        <v>2</v>
      </c>
      <c r="F218" s="12">
        <v>63.46</v>
      </c>
      <c r="G218" s="99" t="s">
        <v>10</v>
      </c>
    </row>
    <row r="219" spans="1:7">
      <c r="A219" s="99" t="s">
        <v>229</v>
      </c>
      <c r="B219" s="75">
        <v>45884</v>
      </c>
      <c r="C219" s="99" t="s">
        <v>11</v>
      </c>
      <c r="D219" s="99" t="s">
        <v>23</v>
      </c>
      <c r="E219" s="12">
        <v>2</v>
      </c>
      <c r="F219" s="12">
        <v>75.22</v>
      </c>
      <c r="G219" s="99" t="s">
        <v>10</v>
      </c>
    </row>
    <row r="220" spans="1:7">
      <c r="B220" s="75">
        <v>45719</v>
      </c>
      <c r="C220" s="99" t="s">
        <v>44</v>
      </c>
      <c r="D220" s="99" t="s">
        <v>23</v>
      </c>
      <c r="E220" s="12">
        <v>1</v>
      </c>
      <c r="F220" s="12">
        <v>87.07</v>
      </c>
      <c r="G220" s="99" t="s">
        <v>13</v>
      </c>
    </row>
    <row r="221" spans="1:7">
      <c r="A221" s="99" t="s">
        <v>230</v>
      </c>
      <c r="B221" s="75">
        <v>46178</v>
      </c>
      <c r="D221" s="99" t="s">
        <v>23</v>
      </c>
      <c r="E221" s="12">
        <v>8</v>
      </c>
      <c r="F221" s="12">
        <v>55.31</v>
      </c>
      <c r="G221" s="99" t="s">
        <v>10</v>
      </c>
    </row>
    <row r="222" spans="1:7">
      <c r="B222" s="75">
        <v>45912</v>
      </c>
      <c r="C222" s="99" t="s">
        <v>44</v>
      </c>
      <c r="D222" s="99" t="s">
        <v>9</v>
      </c>
      <c r="E222" s="12">
        <v>5</v>
      </c>
      <c r="F222" s="12">
        <v>105.12</v>
      </c>
      <c r="G222" s="99" t="s">
        <v>10</v>
      </c>
    </row>
    <row r="223" spans="1:7">
      <c r="A223" s="99" t="s">
        <v>231</v>
      </c>
      <c r="B223" s="75">
        <v>46014</v>
      </c>
      <c r="C223" s="99" t="s">
        <v>18</v>
      </c>
      <c r="D223" s="99" t="s">
        <v>9</v>
      </c>
      <c r="E223" s="12">
        <v>1</v>
      </c>
      <c r="F223" s="12">
        <v>130.31</v>
      </c>
    </row>
    <row r="224" spans="1:7">
      <c r="A224" s="99" t="s">
        <v>232</v>
      </c>
      <c r="B224" s="75">
        <v>45862</v>
      </c>
      <c r="C224" s="99" t="s">
        <v>44</v>
      </c>
      <c r="D224" s="99" t="s">
        <v>9</v>
      </c>
      <c r="E224" s="12">
        <v>7</v>
      </c>
      <c r="F224" s="12">
        <v>106.46</v>
      </c>
      <c r="G224" s="99" t="s">
        <v>19</v>
      </c>
    </row>
    <row r="225" spans="1:7">
      <c r="A225" s="99" t="s">
        <v>233</v>
      </c>
      <c r="B225" s="75">
        <v>45908</v>
      </c>
      <c r="C225" s="99" t="s">
        <v>11</v>
      </c>
      <c r="D225" s="99" t="s">
        <v>9</v>
      </c>
      <c r="E225" s="12">
        <v>2</v>
      </c>
      <c r="F225" s="12">
        <v>85.98</v>
      </c>
      <c r="G225" s="99" t="s">
        <v>13</v>
      </c>
    </row>
    <row r="226" spans="1:7">
      <c r="A226" s="99" t="s">
        <v>234</v>
      </c>
      <c r="C226" s="99" t="s">
        <v>8</v>
      </c>
      <c r="D226" s="99" t="s">
        <v>9</v>
      </c>
      <c r="E226" s="12">
        <v>9</v>
      </c>
      <c r="F226" s="12">
        <v>41.41</v>
      </c>
      <c r="G226" s="99" t="s">
        <v>19</v>
      </c>
    </row>
    <row r="227" spans="1:7">
      <c r="A227" s="99" t="s">
        <v>235</v>
      </c>
      <c r="B227" s="75">
        <v>45702</v>
      </c>
      <c r="C227" s="99" t="s">
        <v>18</v>
      </c>
      <c r="D227" s="99" t="s">
        <v>15</v>
      </c>
      <c r="E227" s="12">
        <v>3</v>
      </c>
      <c r="F227" s="12">
        <v>127.67</v>
      </c>
      <c r="G227" s="99" t="s">
        <v>13</v>
      </c>
    </row>
    <row r="228" spans="1:7">
      <c r="A228" s="99" t="s">
        <v>236</v>
      </c>
      <c r="B228" s="75">
        <v>46129</v>
      </c>
      <c r="C228" s="99" t="s">
        <v>11</v>
      </c>
      <c r="D228" s="99" t="s">
        <v>9</v>
      </c>
      <c r="E228" s="12">
        <v>9</v>
      </c>
      <c r="F228" s="12">
        <v>65.08</v>
      </c>
      <c r="G228" s="99" t="s">
        <v>19</v>
      </c>
    </row>
    <row r="229" spans="1:7">
      <c r="A229" s="99" t="s">
        <v>237</v>
      </c>
      <c r="B229" s="75">
        <v>45771</v>
      </c>
      <c r="C229" s="99" t="s">
        <v>44</v>
      </c>
      <c r="D229" s="99" t="s">
        <v>9</v>
      </c>
      <c r="E229" s="12">
        <v>8</v>
      </c>
      <c r="F229" s="12">
        <v>108.72</v>
      </c>
      <c r="G229" s="99" t="s">
        <v>19</v>
      </c>
    </row>
    <row r="230" spans="1:7">
      <c r="B230" s="75">
        <v>46195</v>
      </c>
      <c r="C230" s="99" t="s">
        <v>11</v>
      </c>
      <c r="D230" s="99" t="s">
        <v>9</v>
      </c>
      <c r="E230" s="12">
        <v>7</v>
      </c>
      <c r="F230" s="12">
        <v>85.97</v>
      </c>
      <c r="G230" s="99" t="s">
        <v>13</v>
      </c>
    </row>
    <row r="231" spans="1:7">
      <c r="A231" s="99" t="s">
        <v>238</v>
      </c>
      <c r="B231" s="75">
        <v>45734</v>
      </c>
      <c r="C231" s="99" t="s">
        <v>11</v>
      </c>
      <c r="D231" s="99" t="s">
        <v>9</v>
      </c>
      <c r="E231" s="12">
        <v>4</v>
      </c>
      <c r="F231" s="12">
        <v>69.75</v>
      </c>
      <c r="G231" s="99" t="s">
        <v>10</v>
      </c>
    </row>
    <row r="232" spans="1:7">
      <c r="A232" s="99" t="s">
        <v>239</v>
      </c>
      <c r="B232" s="75">
        <v>45850</v>
      </c>
      <c r="C232" s="99" t="s">
        <v>44</v>
      </c>
      <c r="D232" s="99" t="s">
        <v>23</v>
      </c>
      <c r="E232" s="12">
        <v>4</v>
      </c>
      <c r="F232" s="12">
        <v>103.04</v>
      </c>
      <c r="G232" s="99" t="s">
        <v>13</v>
      </c>
    </row>
    <row r="233" spans="1:7">
      <c r="A233" s="99" t="s">
        <v>240</v>
      </c>
      <c r="B233" s="75">
        <v>45805</v>
      </c>
      <c r="C233" s="99" t="s">
        <v>8</v>
      </c>
      <c r="D233" s="99" t="s">
        <v>15</v>
      </c>
      <c r="E233" s="12">
        <v>3</v>
      </c>
      <c r="F233" s="12">
        <v>41.84</v>
      </c>
      <c r="G233" s="99" t="s">
        <v>13</v>
      </c>
    </row>
    <row r="234" spans="1:7">
      <c r="A234" s="99" t="s">
        <v>241</v>
      </c>
      <c r="B234" s="75">
        <v>45799</v>
      </c>
      <c r="C234" s="99" t="s">
        <v>8</v>
      </c>
      <c r="D234" s="99" t="s">
        <v>9</v>
      </c>
      <c r="E234" s="12">
        <v>8</v>
      </c>
      <c r="F234" s="12">
        <v>41.4</v>
      </c>
      <c r="G234" s="99" t="s">
        <v>13</v>
      </c>
    </row>
    <row r="235" spans="1:7">
      <c r="A235" s="99" t="s">
        <v>242</v>
      </c>
      <c r="B235" s="75">
        <v>45742</v>
      </c>
      <c r="C235" s="99" t="s">
        <v>8</v>
      </c>
      <c r="D235" s="99" t="s">
        <v>9</v>
      </c>
      <c r="E235" s="12">
        <v>2</v>
      </c>
      <c r="F235" s="12">
        <v>44.31</v>
      </c>
      <c r="G235" s="99" t="s">
        <v>19</v>
      </c>
    </row>
    <row r="236" spans="1:7">
      <c r="A236" s="99" t="s">
        <v>243</v>
      </c>
      <c r="B236" s="75">
        <v>46105</v>
      </c>
      <c r="C236" s="99" t="s">
        <v>11</v>
      </c>
      <c r="D236" s="99" t="s">
        <v>23</v>
      </c>
      <c r="E236" s="12">
        <v>8</v>
      </c>
      <c r="F236" s="12">
        <v>65.81</v>
      </c>
      <c r="G236" s="99" t="s">
        <v>13</v>
      </c>
    </row>
    <row r="237" spans="1:7">
      <c r="A237" s="99" t="s">
        <v>244</v>
      </c>
      <c r="B237" s="75">
        <v>46154</v>
      </c>
      <c r="C237" s="99" t="s">
        <v>44</v>
      </c>
      <c r="D237" s="99" t="s">
        <v>15</v>
      </c>
      <c r="E237" s="12">
        <v>4</v>
      </c>
      <c r="F237" s="12">
        <v>115.99</v>
      </c>
      <c r="G237" s="99" t="s">
        <v>10</v>
      </c>
    </row>
    <row r="238" spans="1:7">
      <c r="A238" s="99" t="s">
        <v>245</v>
      </c>
      <c r="B238" s="75">
        <v>45908</v>
      </c>
      <c r="C238" s="99" t="s">
        <v>8</v>
      </c>
      <c r="D238" s="99" t="s">
        <v>15</v>
      </c>
      <c r="E238" s="12">
        <v>9</v>
      </c>
      <c r="F238" s="12">
        <v>51.68</v>
      </c>
      <c r="G238" s="99" t="s">
        <v>13</v>
      </c>
    </row>
    <row r="239" spans="1:7">
      <c r="A239" s="99" t="s">
        <v>246</v>
      </c>
      <c r="B239" s="75">
        <v>46029</v>
      </c>
      <c r="C239" s="99" t="s">
        <v>44</v>
      </c>
      <c r="D239" s="99" t="s">
        <v>15</v>
      </c>
      <c r="E239" s="12">
        <v>1</v>
      </c>
      <c r="F239" s="12">
        <v>107.33</v>
      </c>
      <c r="G239" s="99" t="s">
        <v>10</v>
      </c>
    </row>
    <row r="240" spans="1:7">
      <c r="A240" s="99" t="s">
        <v>247</v>
      </c>
      <c r="B240" s="75">
        <v>46041</v>
      </c>
      <c r="C240" s="99" t="s">
        <v>11</v>
      </c>
      <c r="D240" s="99" t="s">
        <v>9</v>
      </c>
      <c r="E240" s="12">
        <v>7</v>
      </c>
      <c r="F240" s="12">
        <v>75.739999999999995</v>
      </c>
      <c r="G240" s="99" t="s">
        <v>13</v>
      </c>
    </row>
    <row r="241" spans="1:7">
      <c r="A241" s="99" t="s">
        <v>248</v>
      </c>
      <c r="B241" s="75">
        <v>45893</v>
      </c>
      <c r="C241" s="99" t="s">
        <v>8</v>
      </c>
      <c r="D241" s="99" t="s">
        <v>15</v>
      </c>
      <c r="E241" s="12">
        <v>3</v>
      </c>
      <c r="F241" s="12">
        <v>52.88</v>
      </c>
      <c r="G241" s="99" t="s">
        <v>13</v>
      </c>
    </row>
    <row r="242" spans="1:7">
      <c r="A242" s="99" t="s">
        <v>249</v>
      </c>
      <c r="B242" s="75">
        <v>46099</v>
      </c>
      <c r="C242" s="99" t="s">
        <v>11</v>
      </c>
      <c r="D242" s="99" t="s">
        <v>9</v>
      </c>
      <c r="E242" s="12">
        <v>2</v>
      </c>
      <c r="F242" s="12">
        <v>63.43</v>
      </c>
      <c r="G242" s="99" t="s">
        <v>10</v>
      </c>
    </row>
    <row r="243" spans="1:7">
      <c r="A243" s="99" t="s">
        <v>250</v>
      </c>
      <c r="B243" s="75">
        <v>45769</v>
      </c>
      <c r="C243" s="99" t="s">
        <v>8</v>
      </c>
      <c r="D243" s="99" t="s">
        <v>23</v>
      </c>
      <c r="E243" s="12">
        <v>1</v>
      </c>
      <c r="F243" s="12">
        <v>52.92</v>
      </c>
      <c r="G243" s="99" t="s">
        <v>19</v>
      </c>
    </row>
    <row r="244" spans="1:7">
      <c r="A244" s="99" t="s">
        <v>251</v>
      </c>
      <c r="B244" s="75">
        <v>45719</v>
      </c>
      <c r="C244" s="99" t="s">
        <v>8</v>
      </c>
      <c r="D244" s="99" t="s">
        <v>15</v>
      </c>
      <c r="E244" s="12">
        <v>9</v>
      </c>
      <c r="F244" s="12">
        <v>40.840000000000003</v>
      </c>
      <c r="G244" s="99" t="s">
        <v>19</v>
      </c>
    </row>
    <row r="245" spans="1:7">
      <c r="A245" s="99" t="s">
        <v>252</v>
      </c>
      <c r="B245" s="75">
        <v>46147</v>
      </c>
      <c r="C245" s="99" t="s">
        <v>190</v>
      </c>
      <c r="D245" s="99" t="s">
        <v>9</v>
      </c>
      <c r="E245" s="12">
        <v>2</v>
      </c>
      <c r="F245" s="12">
        <v>76.41</v>
      </c>
      <c r="G245" s="99" t="s">
        <v>10</v>
      </c>
    </row>
    <row r="246" spans="1:7">
      <c r="A246" s="99" t="s">
        <v>253</v>
      </c>
      <c r="B246" s="75">
        <v>45786</v>
      </c>
      <c r="C246" s="99" t="s">
        <v>8</v>
      </c>
      <c r="D246" s="99" t="s">
        <v>15</v>
      </c>
      <c r="E246" s="12">
        <v>4</v>
      </c>
      <c r="F246" s="12">
        <v>45.32</v>
      </c>
      <c r="G246" s="99" t="s">
        <v>19</v>
      </c>
    </row>
    <row r="247" spans="1:7">
      <c r="A247" s="99" t="s">
        <v>254</v>
      </c>
      <c r="C247" s="99" t="s">
        <v>11</v>
      </c>
      <c r="D247" s="99" t="s">
        <v>9</v>
      </c>
      <c r="E247" s="12">
        <v>4</v>
      </c>
      <c r="F247" s="12">
        <v>68.069999999999993</v>
      </c>
      <c r="G247" s="99" t="s">
        <v>19</v>
      </c>
    </row>
    <row r="248" spans="1:7">
      <c r="A248" s="99" t="s">
        <v>255</v>
      </c>
      <c r="B248" s="75">
        <v>45693</v>
      </c>
      <c r="C248" s="99" t="s">
        <v>44</v>
      </c>
      <c r="D248" s="99" t="s">
        <v>9</v>
      </c>
      <c r="F248" s="12">
        <v>114.69</v>
      </c>
      <c r="G248" s="99" t="s">
        <v>10</v>
      </c>
    </row>
    <row r="249" spans="1:7">
      <c r="A249" s="99" t="s">
        <v>256</v>
      </c>
      <c r="B249" s="75">
        <v>45862</v>
      </c>
      <c r="C249" s="99" t="s">
        <v>44</v>
      </c>
      <c r="D249" s="99" t="s">
        <v>23</v>
      </c>
      <c r="E249" s="12">
        <v>9</v>
      </c>
      <c r="G249" s="99" t="s">
        <v>13</v>
      </c>
    </row>
    <row r="250" spans="1:7">
      <c r="A250" s="99" t="s">
        <v>257</v>
      </c>
      <c r="B250" s="75">
        <v>45914</v>
      </c>
      <c r="C250" s="99" t="s">
        <v>8</v>
      </c>
      <c r="D250" s="99" t="s">
        <v>23</v>
      </c>
      <c r="E250" s="12">
        <v>4</v>
      </c>
      <c r="F250" s="12">
        <v>54.29</v>
      </c>
      <c r="G250" s="99" t="s">
        <v>10</v>
      </c>
    </row>
    <row r="251" spans="1:7">
      <c r="A251" s="99" t="s">
        <v>258</v>
      </c>
      <c r="B251" s="75">
        <v>46189</v>
      </c>
      <c r="C251" s="99" t="s">
        <v>8</v>
      </c>
      <c r="D251" s="99" t="s">
        <v>9</v>
      </c>
      <c r="E251" s="12" t="s">
        <v>47</v>
      </c>
      <c r="F251" s="12">
        <v>48.55</v>
      </c>
    </row>
    <row r="252" spans="1:7">
      <c r="A252" s="99" t="s">
        <v>259</v>
      </c>
      <c r="B252" s="75">
        <v>45781</v>
      </c>
      <c r="C252" s="99" t="s">
        <v>8</v>
      </c>
      <c r="D252" s="99" t="s">
        <v>9</v>
      </c>
      <c r="E252" s="12">
        <v>3</v>
      </c>
      <c r="F252" s="12">
        <v>50.56</v>
      </c>
      <c r="G252" s="99" t="s">
        <v>19</v>
      </c>
    </row>
    <row r="253" spans="1:7">
      <c r="A253" s="99" t="s">
        <v>260</v>
      </c>
      <c r="B253" s="75">
        <v>45886</v>
      </c>
      <c r="C253" s="99" t="s">
        <v>8</v>
      </c>
      <c r="D253" s="99" t="s">
        <v>15</v>
      </c>
      <c r="E253" s="12">
        <v>4</v>
      </c>
      <c r="F253" s="12">
        <v>53.79</v>
      </c>
    </row>
    <row r="254" spans="1:7">
      <c r="A254" s="99" t="s">
        <v>261</v>
      </c>
      <c r="B254" s="75">
        <v>46157</v>
      </c>
      <c r="C254" s="99" t="s">
        <v>8</v>
      </c>
      <c r="D254" s="99" t="s">
        <v>9</v>
      </c>
      <c r="E254" s="12">
        <v>7</v>
      </c>
      <c r="F254" s="12">
        <v>48.04</v>
      </c>
      <c r="G254" s="99" t="s">
        <v>10</v>
      </c>
    </row>
    <row r="255" spans="1:7">
      <c r="A255" s="99" t="s">
        <v>121</v>
      </c>
      <c r="B255" s="75">
        <v>46185</v>
      </c>
      <c r="C255" s="99" t="s">
        <v>11</v>
      </c>
      <c r="D255" s="99" t="s">
        <v>9</v>
      </c>
      <c r="E255" s="12">
        <v>7</v>
      </c>
      <c r="G255" s="99" t="s">
        <v>10</v>
      </c>
    </row>
    <row r="256" spans="1:7">
      <c r="A256" s="99" t="s">
        <v>35</v>
      </c>
      <c r="B256" s="75">
        <v>46224</v>
      </c>
      <c r="C256" s="99" t="s">
        <v>8</v>
      </c>
      <c r="D256" s="99" t="s">
        <v>23</v>
      </c>
      <c r="E256" s="12">
        <v>9</v>
      </c>
      <c r="F256" s="12">
        <v>49.1</v>
      </c>
      <c r="G256" s="99" t="s">
        <v>10</v>
      </c>
    </row>
    <row r="257" spans="1:7">
      <c r="A257" s="99" t="s">
        <v>262</v>
      </c>
      <c r="B257" s="75">
        <v>46009</v>
      </c>
      <c r="D257" s="99" t="s">
        <v>9</v>
      </c>
      <c r="E257" s="12">
        <v>10</v>
      </c>
      <c r="F257" s="12">
        <v>48.09</v>
      </c>
      <c r="G257" s="99" t="s">
        <v>10</v>
      </c>
    </row>
    <row r="258" spans="1:7">
      <c r="A258" s="99" t="s">
        <v>263</v>
      </c>
      <c r="B258" s="75">
        <v>45752</v>
      </c>
      <c r="C258" s="99" t="s">
        <v>8</v>
      </c>
      <c r="D258" s="99" t="s">
        <v>9</v>
      </c>
      <c r="E258" s="12">
        <v>1</v>
      </c>
      <c r="F258" s="12">
        <v>42.32</v>
      </c>
      <c r="G258" s="99" t="s">
        <v>29</v>
      </c>
    </row>
    <row r="259" spans="1:7">
      <c r="A259" s="99" t="s">
        <v>264</v>
      </c>
      <c r="B259" s="75">
        <v>46147</v>
      </c>
      <c r="C259" s="99" t="s">
        <v>8</v>
      </c>
      <c r="D259" s="99" t="s">
        <v>15</v>
      </c>
      <c r="E259" s="12">
        <v>10</v>
      </c>
      <c r="F259" s="12">
        <v>48.58</v>
      </c>
      <c r="G259" s="99" t="s">
        <v>29</v>
      </c>
    </row>
    <row r="260" spans="1:7">
      <c r="A260" s="99" t="s">
        <v>265</v>
      </c>
      <c r="B260" s="75">
        <v>45684</v>
      </c>
      <c r="C260" s="99" t="s">
        <v>44</v>
      </c>
      <c r="D260" s="99" t="s">
        <v>15</v>
      </c>
      <c r="E260" s="12">
        <v>5</v>
      </c>
      <c r="F260" s="12">
        <v>117.53</v>
      </c>
      <c r="G260" s="99" t="s">
        <v>29</v>
      </c>
    </row>
    <row r="261" spans="1:7">
      <c r="A261" s="99" t="s">
        <v>266</v>
      </c>
      <c r="B261" s="75">
        <v>45673</v>
      </c>
      <c r="C261" s="99" t="s">
        <v>44</v>
      </c>
      <c r="D261" s="99" t="s">
        <v>23</v>
      </c>
      <c r="E261" s="12">
        <v>8</v>
      </c>
      <c r="F261" s="12">
        <v>89.44</v>
      </c>
      <c r="G261" s="99" t="s">
        <v>10</v>
      </c>
    </row>
    <row r="262" spans="1:7">
      <c r="A262" s="99" t="s">
        <v>267</v>
      </c>
      <c r="B262" s="75">
        <v>45918</v>
      </c>
      <c r="C262" s="99" t="s">
        <v>18</v>
      </c>
      <c r="D262" s="99" t="s">
        <v>23</v>
      </c>
      <c r="E262" s="12">
        <v>1</v>
      </c>
      <c r="F262" s="12">
        <v>108.44</v>
      </c>
      <c r="G262" s="99" t="s">
        <v>10</v>
      </c>
    </row>
    <row r="263" spans="1:7">
      <c r="A263" s="99" t="s">
        <v>268</v>
      </c>
      <c r="B263" s="75">
        <v>46234</v>
      </c>
      <c r="C263" s="99" t="s">
        <v>8</v>
      </c>
      <c r="D263" s="99" t="s">
        <v>23</v>
      </c>
      <c r="E263" s="12">
        <v>3</v>
      </c>
      <c r="F263" s="12">
        <v>40.57</v>
      </c>
      <c r="G263" s="99" t="s">
        <v>10</v>
      </c>
    </row>
    <row r="264" spans="1:7">
      <c r="A264" s="99" t="s">
        <v>269</v>
      </c>
      <c r="C264" s="99" t="s">
        <v>44</v>
      </c>
      <c r="D264" s="99" t="s">
        <v>23</v>
      </c>
      <c r="E264" s="12">
        <v>1</v>
      </c>
      <c r="F264" s="12">
        <v>118.71</v>
      </c>
      <c r="G264" s="99" t="s">
        <v>10</v>
      </c>
    </row>
    <row r="265" spans="1:7">
      <c r="A265" s="99" t="s">
        <v>124</v>
      </c>
      <c r="B265" s="75">
        <v>46181</v>
      </c>
      <c r="C265" s="99" t="s">
        <v>44</v>
      </c>
      <c r="D265" s="99" t="s">
        <v>23</v>
      </c>
      <c r="E265" s="12">
        <v>3</v>
      </c>
      <c r="F265" s="12">
        <v>105.56</v>
      </c>
      <c r="G265" s="99" t="s">
        <v>10</v>
      </c>
    </row>
    <row r="266" spans="1:7">
      <c r="A266" s="99" t="s">
        <v>270</v>
      </c>
      <c r="B266" s="75">
        <v>45943</v>
      </c>
      <c r="C266" s="99" t="s">
        <v>8</v>
      </c>
      <c r="D266" s="99" t="s">
        <v>9</v>
      </c>
      <c r="F266" s="12">
        <v>40.92</v>
      </c>
      <c r="G266" s="99" t="s">
        <v>10</v>
      </c>
    </row>
    <row r="267" spans="1:7">
      <c r="A267" s="99" t="s">
        <v>271</v>
      </c>
      <c r="B267" s="75">
        <v>46225</v>
      </c>
      <c r="C267" s="99" t="s">
        <v>18</v>
      </c>
      <c r="D267" s="99" t="s">
        <v>15</v>
      </c>
      <c r="E267" s="12">
        <v>1</v>
      </c>
      <c r="F267" s="12">
        <v>134.58000000000001</v>
      </c>
      <c r="G267" s="99" t="s">
        <v>10</v>
      </c>
    </row>
    <row r="268" spans="1:7">
      <c r="A268" s="99" t="s">
        <v>272</v>
      </c>
      <c r="B268" s="75">
        <v>45837</v>
      </c>
      <c r="C268" s="99" t="s">
        <v>191</v>
      </c>
      <c r="D268" s="99" t="s">
        <v>23</v>
      </c>
      <c r="E268" s="12">
        <v>8</v>
      </c>
      <c r="F268" s="12">
        <v>47.66</v>
      </c>
      <c r="G268" s="99" t="s">
        <v>19</v>
      </c>
    </row>
    <row r="269" spans="1:7">
      <c r="A269" s="99" t="s">
        <v>273</v>
      </c>
      <c r="B269" s="75">
        <v>45739</v>
      </c>
      <c r="C269" s="99" t="s">
        <v>18</v>
      </c>
      <c r="D269" s="99" t="s">
        <v>23</v>
      </c>
      <c r="E269" s="12">
        <v>5</v>
      </c>
      <c r="F269" s="12">
        <v>148.55000000000001</v>
      </c>
      <c r="G269" s="99" t="s">
        <v>10</v>
      </c>
    </row>
    <row r="270" spans="1:7">
      <c r="A270" s="99" t="s">
        <v>274</v>
      </c>
      <c r="B270" s="75">
        <v>46186</v>
      </c>
      <c r="C270" s="99" t="s">
        <v>18</v>
      </c>
      <c r="E270" s="12">
        <v>2</v>
      </c>
      <c r="F270" s="12">
        <v>120.65</v>
      </c>
      <c r="G270" s="99" t="s">
        <v>19</v>
      </c>
    </row>
    <row r="271" spans="1:7">
      <c r="A271" s="99" t="s">
        <v>275</v>
      </c>
      <c r="B271" s="75">
        <v>46120</v>
      </c>
      <c r="C271" s="99" t="s">
        <v>44</v>
      </c>
      <c r="D271" s="99" t="s">
        <v>9</v>
      </c>
      <c r="E271" s="12">
        <v>7</v>
      </c>
      <c r="F271" s="12">
        <v>94.56</v>
      </c>
      <c r="G271" s="99" t="s">
        <v>19</v>
      </c>
    </row>
    <row r="272" spans="1:7">
      <c r="A272" s="99" t="s">
        <v>276</v>
      </c>
      <c r="B272" s="75">
        <v>45800</v>
      </c>
      <c r="C272" s="99" t="s">
        <v>18</v>
      </c>
      <c r="D272" s="99" t="s">
        <v>23</v>
      </c>
      <c r="E272" s="12">
        <v>7</v>
      </c>
      <c r="F272" s="12">
        <v>141.58000000000001</v>
      </c>
      <c r="G272" s="99" t="s">
        <v>19</v>
      </c>
    </row>
    <row r="273" spans="1:7">
      <c r="A273" s="99" t="s">
        <v>275</v>
      </c>
      <c r="B273" s="75">
        <v>46120</v>
      </c>
      <c r="C273" s="99" t="s">
        <v>44</v>
      </c>
      <c r="D273" s="99" t="s">
        <v>9</v>
      </c>
      <c r="E273" s="12">
        <v>7</v>
      </c>
      <c r="F273" s="12">
        <v>94.56</v>
      </c>
      <c r="G273" s="99" t="s">
        <v>19</v>
      </c>
    </row>
    <row r="274" spans="1:7">
      <c r="A274" s="99" t="s">
        <v>277</v>
      </c>
      <c r="B274" s="75">
        <v>46184</v>
      </c>
      <c r="C274" s="99" t="s">
        <v>44</v>
      </c>
      <c r="E274" s="12">
        <v>7</v>
      </c>
      <c r="F274" s="12">
        <v>116.36</v>
      </c>
      <c r="G274" s="99" t="s">
        <v>13</v>
      </c>
    </row>
    <row r="275" spans="1:7">
      <c r="A275" s="99" t="s">
        <v>278</v>
      </c>
      <c r="B275" s="75">
        <v>46138</v>
      </c>
      <c r="C275" s="99" t="s">
        <v>8</v>
      </c>
      <c r="D275" s="99" t="s">
        <v>15</v>
      </c>
      <c r="F275" s="12">
        <v>42.79</v>
      </c>
      <c r="G275" s="99" t="s">
        <v>10</v>
      </c>
    </row>
    <row r="276" spans="1:7">
      <c r="A276" s="99" t="s">
        <v>279</v>
      </c>
      <c r="B276" s="75">
        <v>45740</v>
      </c>
      <c r="C276" s="99" t="s">
        <v>18</v>
      </c>
      <c r="D276" s="99" t="s">
        <v>15</v>
      </c>
      <c r="E276" s="12">
        <v>9</v>
      </c>
      <c r="F276" s="12">
        <v>126.97</v>
      </c>
      <c r="G276" s="99" t="s">
        <v>19</v>
      </c>
    </row>
    <row r="277" spans="1:7">
      <c r="A277" s="99" t="s">
        <v>280</v>
      </c>
      <c r="B277" s="75">
        <v>46198</v>
      </c>
      <c r="C277" s="99" t="s">
        <v>8</v>
      </c>
      <c r="D277" s="99" t="s">
        <v>281</v>
      </c>
      <c r="E277" s="12">
        <v>9</v>
      </c>
      <c r="F277" s="12">
        <v>55.82</v>
      </c>
      <c r="G277" s="99" t="s">
        <v>10</v>
      </c>
    </row>
    <row r="278" spans="1:7">
      <c r="A278" s="99" t="s">
        <v>282</v>
      </c>
      <c r="B278" s="75">
        <v>46147</v>
      </c>
      <c r="C278" s="99" t="s">
        <v>8</v>
      </c>
      <c r="D278" s="99" t="s">
        <v>23</v>
      </c>
      <c r="E278" s="12">
        <v>8</v>
      </c>
      <c r="F278" s="12">
        <v>48.91</v>
      </c>
    </row>
    <row r="279" spans="1:7">
      <c r="A279" s="99" t="s">
        <v>283</v>
      </c>
      <c r="B279" s="75">
        <v>46028</v>
      </c>
      <c r="C279" s="99" t="s">
        <v>8</v>
      </c>
      <c r="D279" s="99" t="s">
        <v>9</v>
      </c>
      <c r="E279" s="12">
        <v>5</v>
      </c>
      <c r="F279" s="12">
        <v>51.27</v>
      </c>
      <c r="G279" s="99" t="s">
        <v>13</v>
      </c>
    </row>
    <row r="280" spans="1:7">
      <c r="A280" s="99" t="s">
        <v>284</v>
      </c>
      <c r="B280" s="75">
        <v>45663</v>
      </c>
      <c r="C280" s="99" t="s">
        <v>44</v>
      </c>
      <c r="D280" s="99" t="s">
        <v>9</v>
      </c>
      <c r="E280" s="12">
        <v>3</v>
      </c>
      <c r="F280" s="12">
        <v>113.27</v>
      </c>
      <c r="G280" s="99" t="s">
        <v>19</v>
      </c>
    </row>
    <row r="281" spans="1:7">
      <c r="A281" s="99" t="s">
        <v>285</v>
      </c>
      <c r="B281" s="75">
        <v>45757</v>
      </c>
      <c r="C281" s="99" t="s">
        <v>8</v>
      </c>
      <c r="D281" s="99" t="s">
        <v>9</v>
      </c>
      <c r="E281" s="12">
        <v>6</v>
      </c>
      <c r="F281" s="12">
        <v>48.61</v>
      </c>
      <c r="G281" s="99" t="s">
        <v>10</v>
      </c>
    </row>
    <row r="282" spans="1:7">
      <c r="A282" s="99" t="s">
        <v>286</v>
      </c>
      <c r="B282" s="75">
        <v>46224</v>
      </c>
      <c r="C282" s="99" t="s">
        <v>11</v>
      </c>
      <c r="D282" s="99" t="s">
        <v>9</v>
      </c>
      <c r="E282" s="12">
        <v>9</v>
      </c>
      <c r="F282" s="12">
        <v>69.849999999999994</v>
      </c>
      <c r="G282" s="99" t="s">
        <v>13</v>
      </c>
    </row>
    <row r="283" spans="1:7">
      <c r="A283" s="99" t="s">
        <v>257</v>
      </c>
      <c r="B283" s="75">
        <v>45914</v>
      </c>
      <c r="C283" s="99" t="s">
        <v>8</v>
      </c>
      <c r="D283" s="99" t="s">
        <v>23</v>
      </c>
      <c r="E283" s="12">
        <v>4</v>
      </c>
      <c r="F283" s="12">
        <v>54.29</v>
      </c>
      <c r="G283" s="99" t="s">
        <v>10</v>
      </c>
    </row>
    <row r="284" spans="1:7">
      <c r="A284" s="99" t="s">
        <v>287</v>
      </c>
      <c r="B284" s="75">
        <v>45862</v>
      </c>
      <c r="C284" s="99" t="s">
        <v>18</v>
      </c>
      <c r="D284" s="99" t="s">
        <v>23</v>
      </c>
      <c r="E284" s="12">
        <v>10</v>
      </c>
      <c r="F284" s="12">
        <v>133.09</v>
      </c>
      <c r="G284" s="99" t="s">
        <v>10</v>
      </c>
    </row>
    <row r="285" spans="1:7">
      <c r="A285" s="99" t="s">
        <v>288</v>
      </c>
      <c r="B285" s="75">
        <v>46115</v>
      </c>
      <c r="C285" s="99" t="s">
        <v>18</v>
      </c>
      <c r="D285" s="99" t="s">
        <v>23</v>
      </c>
      <c r="E285" s="12">
        <v>8</v>
      </c>
      <c r="F285" s="12">
        <v>148.56</v>
      </c>
      <c r="G285" s="99" t="s">
        <v>29</v>
      </c>
    </row>
    <row r="286" spans="1:7">
      <c r="A286" s="99" t="s">
        <v>289</v>
      </c>
      <c r="B286" s="75">
        <v>46081</v>
      </c>
      <c r="C286" s="99" t="s">
        <v>18</v>
      </c>
      <c r="D286" s="99" t="s">
        <v>15</v>
      </c>
      <c r="E286" s="12">
        <v>7</v>
      </c>
      <c r="F286" s="12">
        <v>115.5</v>
      </c>
      <c r="G286" s="99" t="s">
        <v>10</v>
      </c>
    </row>
    <row r="287" spans="1:7">
      <c r="A287" s="99" t="s">
        <v>290</v>
      </c>
      <c r="B287" s="75">
        <v>46218</v>
      </c>
      <c r="C287" s="99" t="s">
        <v>11</v>
      </c>
      <c r="D287" s="99" t="s">
        <v>15</v>
      </c>
      <c r="E287" s="12">
        <v>2</v>
      </c>
      <c r="F287" s="12">
        <v>64.930000000000007</v>
      </c>
      <c r="G287" s="99" t="s">
        <v>10</v>
      </c>
    </row>
    <row r="288" spans="1:7">
      <c r="A288" s="99" t="s">
        <v>291</v>
      </c>
      <c r="B288" s="75">
        <v>46177</v>
      </c>
      <c r="C288" s="99" t="s">
        <v>11</v>
      </c>
      <c r="D288" s="99" t="s">
        <v>23</v>
      </c>
      <c r="E288" s="12">
        <v>10</v>
      </c>
      <c r="F288" s="12">
        <v>79.599999999999994</v>
      </c>
    </row>
    <row r="289" spans="1:7">
      <c r="A289" s="99" t="s">
        <v>292</v>
      </c>
      <c r="B289" s="75">
        <v>45947</v>
      </c>
      <c r="C289" s="99" t="s">
        <v>8</v>
      </c>
      <c r="D289" s="99" t="s">
        <v>23</v>
      </c>
      <c r="E289" s="12">
        <v>7</v>
      </c>
      <c r="F289" s="12">
        <v>47.43</v>
      </c>
      <c r="G289" s="99" t="s">
        <v>10</v>
      </c>
    </row>
    <row r="290" spans="1:7">
      <c r="A290" s="99" t="s">
        <v>293</v>
      </c>
      <c r="B290" s="75">
        <v>45724</v>
      </c>
      <c r="C290" s="99" t="s">
        <v>8</v>
      </c>
      <c r="D290" s="99" t="s">
        <v>9</v>
      </c>
      <c r="E290" s="12">
        <v>3</v>
      </c>
      <c r="F290" s="12">
        <v>47.39</v>
      </c>
      <c r="G290" s="99" t="s">
        <v>13</v>
      </c>
    </row>
    <row r="291" spans="1:7">
      <c r="A291" s="99" t="s">
        <v>294</v>
      </c>
      <c r="B291" s="75">
        <v>46085</v>
      </c>
      <c r="C291" s="99" t="s">
        <v>8</v>
      </c>
      <c r="D291" s="99" t="s">
        <v>9</v>
      </c>
      <c r="E291" s="12">
        <v>9</v>
      </c>
      <c r="F291" s="12">
        <v>51.16</v>
      </c>
      <c r="G291" s="99" t="s">
        <v>19</v>
      </c>
    </row>
    <row r="292" spans="1:7">
      <c r="A292" s="99" t="s">
        <v>295</v>
      </c>
      <c r="B292" s="75">
        <v>46070</v>
      </c>
      <c r="C292" s="99" t="s">
        <v>8</v>
      </c>
      <c r="D292" s="99" t="s">
        <v>9</v>
      </c>
      <c r="E292" s="12">
        <v>3</v>
      </c>
      <c r="F292" s="12">
        <v>50.3</v>
      </c>
    </row>
    <row r="293" spans="1:7">
      <c r="A293" s="99" t="s">
        <v>296</v>
      </c>
      <c r="B293" s="75">
        <v>46019</v>
      </c>
      <c r="C293" s="99" t="s">
        <v>8</v>
      </c>
      <c r="D293" s="99" t="s">
        <v>23</v>
      </c>
      <c r="E293" s="12">
        <v>8</v>
      </c>
      <c r="F293" s="12">
        <v>54.36</v>
      </c>
      <c r="G293" s="99" t="s">
        <v>13</v>
      </c>
    </row>
    <row r="294" spans="1:7">
      <c r="A294" s="99" t="s">
        <v>297</v>
      </c>
      <c r="B294" s="75">
        <v>46153</v>
      </c>
      <c r="C294" s="99" t="s">
        <v>8</v>
      </c>
      <c r="D294" s="99" t="s">
        <v>9</v>
      </c>
      <c r="E294" s="12">
        <v>1</v>
      </c>
      <c r="F294" s="12">
        <v>51.61</v>
      </c>
      <c r="G294" s="99" t="s">
        <v>13</v>
      </c>
    </row>
    <row r="295" spans="1:7">
      <c r="A295" s="99" t="s">
        <v>298</v>
      </c>
      <c r="B295" s="75">
        <v>45995</v>
      </c>
      <c r="C295" s="99" t="s">
        <v>47</v>
      </c>
      <c r="D295" s="99" t="s">
        <v>23</v>
      </c>
      <c r="E295" s="12">
        <v>5</v>
      </c>
      <c r="F295" s="12">
        <v>64.430000000000007</v>
      </c>
      <c r="G295" s="99" t="s">
        <v>29</v>
      </c>
    </row>
    <row r="296" spans="1:7">
      <c r="A296" s="99" t="s">
        <v>299</v>
      </c>
      <c r="B296" s="75">
        <v>45678</v>
      </c>
      <c r="C296" s="99" t="s">
        <v>8</v>
      </c>
      <c r="D296" s="99" t="s">
        <v>9</v>
      </c>
      <c r="E296" s="12">
        <v>6</v>
      </c>
      <c r="F296" s="12">
        <v>52.55</v>
      </c>
      <c r="G296" s="99" t="s">
        <v>10</v>
      </c>
    </row>
    <row r="297" spans="1:7">
      <c r="A297" s="99" t="s">
        <v>300</v>
      </c>
      <c r="B297" s="75">
        <v>45781</v>
      </c>
      <c r="C297" s="99" t="s">
        <v>8</v>
      </c>
      <c r="D297" s="99" t="s">
        <v>9</v>
      </c>
      <c r="E297" s="12">
        <v>7</v>
      </c>
      <c r="F297" s="12">
        <v>51.82</v>
      </c>
      <c r="G297" s="99" t="s">
        <v>13</v>
      </c>
    </row>
    <row r="298" spans="1:7">
      <c r="A298" s="99" t="s">
        <v>301</v>
      </c>
      <c r="B298" s="75">
        <v>45715</v>
      </c>
      <c r="C298" s="99" t="s">
        <v>8</v>
      </c>
      <c r="D298" s="99" t="s">
        <v>23</v>
      </c>
      <c r="E298" s="12">
        <v>8</v>
      </c>
      <c r="F298" s="12">
        <v>52.44</v>
      </c>
      <c r="G298" s="99" t="s">
        <v>10</v>
      </c>
    </row>
    <row r="299" spans="1:7">
      <c r="A299" s="99" t="s">
        <v>302</v>
      </c>
      <c r="B299" s="75">
        <v>46057</v>
      </c>
      <c r="C299" s="99" t="s">
        <v>8</v>
      </c>
      <c r="D299" s="99" t="s">
        <v>23</v>
      </c>
      <c r="E299" s="12">
        <v>1</v>
      </c>
      <c r="F299" s="12">
        <v>52.32</v>
      </c>
      <c r="G299" s="99" t="s">
        <v>10</v>
      </c>
    </row>
    <row r="300" spans="1:7">
      <c r="A300" s="99" t="s">
        <v>303</v>
      </c>
      <c r="B300" s="75">
        <v>46111</v>
      </c>
      <c r="C300" s="99" t="s">
        <v>8</v>
      </c>
      <c r="D300" s="99" t="s">
        <v>23</v>
      </c>
      <c r="E300" s="12">
        <v>9</v>
      </c>
      <c r="F300" s="12">
        <v>45.12</v>
      </c>
      <c r="G300" s="99" t="s">
        <v>19</v>
      </c>
    </row>
    <row r="301" spans="1:7">
      <c r="A301" s="99" t="s">
        <v>304</v>
      </c>
      <c r="B301" s="75">
        <v>46049</v>
      </c>
      <c r="C301" s="99" t="s">
        <v>44</v>
      </c>
      <c r="D301" s="99" t="s">
        <v>23</v>
      </c>
      <c r="E301" s="12">
        <v>4</v>
      </c>
      <c r="F301" s="12">
        <v>93.77</v>
      </c>
      <c r="G301" s="99" t="s">
        <v>10</v>
      </c>
    </row>
    <row r="303" spans="1:7">
      <c r="A303" s="99">
        <f>COUNTBLANK(A2:A301)</f>
        <v>15</v>
      </c>
    </row>
  </sheetData>
  <autoFilter ref="A1:G1" xr:uid="{FC0F8408-9700-4D3D-873C-EC8A378B99CC}"/>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952C-897C-46F9-BEF4-CAB753359985}">
  <dimension ref="A1:I293"/>
  <sheetViews>
    <sheetView workbookViewId="0">
      <selection activeCell="C13" sqref="C13"/>
    </sheetView>
  </sheetViews>
  <sheetFormatPr defaultRowHeight="14.5"/>
  <cols>
    <col min="1" max="1" width="16.08984375" bestFit="1" customWidth="1"/>
    <col min="2" max="2" width="18.54296875" style="75" bestFit="1" customWidth="1"/>
    <col min="3" max="3" width="16.6328125" bestFit="1" customWidth="1"/>
    <col min="4" max="4" width="17.6328125" customWidth="1"/>
    <col min="5" max="5" width="11.36328125" bestFit="1" customWidth="1"/>
    <col min="6" max="6" width="16.26953125" bestFit="1" customWidth="1"/>
    <col min="7" max="7" width="20.26953125" bestFit="1" customWidth="1"/>
  </cols>
  <sheetData>
    <row r="1" spans="1:9">
      <c r="A1" s="1" t="s">
        <v>0</v>
      </c>
      <c r="B1" s="74" t="s">
        <v>1</v>
      </c>
      <c r="C1" s="1" t="s">
        <v>2</v>
      </c>
      <c r="D1" s="1" t="s">
        <v>3</v>
      </c>
      <c r="E1" s="1" t="s">
        <v>4</v>
      </c>
      <c r="F1" s="1" t="s">
        <v>5</v>
      </c>
      <c r="G1" s="1" t="s">
        <v>6</v>
      </c>
    </row>
    <row r="2" spans="1:9">
      <c r="A2" t="s">
        <v>7</v>
      </c>
      <c r="B2" s="75" t="s">
        <v>389</v>
      </c>
      <c r="C2" t="s">
        <v>8</v>
      </c>
      <c r="D2" t="s">
        <v>9</v>
      </c>
      <c r="E2">
        <v>3</v>
      </c>
      <c r="F2" s="2">
        <v>45.7</v>
      </c>
      <c r="G2" t="s">
        <v>10</v>
      </c>
      <c r="I2" s="5"/>
    </row>
    <row r="3" spans="1:9">
      <c r="A3" t="s">
        <v>305</v>
      </c>
      <c r="B3" s="75">
        <v>46018</v>
      </c>
      <c r="C3" t="s">
        <v>11</v>
      </c>
      <c r="D3" t="s">
        <v>9</v>
      </c>
      <c r="E3">
        <v>10</v>
      </c>
      <c r="F3" s="2">
        <v>69.03</v>
      </c>
      <c r="G3" t="s">
        <v>10</v>
      </c>
    </row>
    <row r="4" spans="1:9">
      <c r="A4" t="s">
        <v>12</v>
      </c>
      <c r="B4" s="75">
        <v>46123</v>
      </c>
      <c r="C4" t="s">
        <v>11</v>
      </c>
      <c r="D4" t="s">
        <v>9</v>
      </c>
      <c r="E4">
        <v>2</v>
      </c>
      <c r="F4" s="2">
        <v>66.680000000000007</v>
      </c>
      <c r="G4" t="s">
        <v>13</v>
      </c>
    </row>
    <row r="5" spans="1:9">
      <c r="A5" t="s">
        <v>14</v>
      </c>
      <c r="B5" s="75">
        <v>45899</v>
      </c>
      <c r="C5" t="s">
        <v>8</v>
      </c>
      <c r="D5" t="s">
        <v>15</v>
      </c>
      <c r="E5">
        <v>2</v>
      </c>
      <c r="F5" s="2">
        <v>44.5</v>
      </c>
      <c r="G5" t="s">
        <v>10</v>
      </c>
    </row>
    <row r="6" spans="1:9">
      <c r="A6" t="s">
        <v>16</v>
      </c>
      <c r="B6" s="75">
        <v>45887</v>
      </c>
      <c r="C6" t="s">
        <v>11</v>
      </c>
      <c r="D6" t="s">
        <v>9</v>
      </c>
      <c r="E6">
        <v>10</v>
      </c>
      <c r="F6" s="2">
        <v>78.87</v>
      </c>
      <c r="G6" t="s">
        <v>10</v>
      </c>
    </row>
    <row r="7" spans="1:9">
      <c r="A7" t="s">
        <v>17</v>
      </c>
      <c r="B7" s="75">
        <v>45991</v>
      </c>
      <c r="C7" t="s">
        <v>18</v>
      </c>
      <c r="D7" t="s">
        <v>9</v>
      </c>
      <c r="E7">
        <v>10</v>
      </c>
      <c r="F7" s="2">
        <v>129.5</v>
      </c>
      <c r="G7" t="s">
        <v>19</v>
      </c>
    </row>
    <row r="8" spans="1:9">
      <c r="A8" t="s">
        <v>20</v>
      </c>
      <c r="B8" s="75">
        <v>45773</v>
      </c>
      <c r="C8" t="s">
        <v>11</v>
      </c>
      <c r="D8" t="s">
        <v>9</v>
      </c>
      <c r="E8">
        <v>2</v>
      </c>
      <c r="F8" s="2">
        <v>72.98</v>
      </c>
      <c r="G8" t="s">
        <v>19</v>
      </c>
    </row>
    <row r="9" spans="1:9">
      <c r="A9" t="s">
        <v>21</v>
      </c>
      <c r="B9" s="75" t="s">
        <v>389</v>
      </c>
      <c r="C9" t="s">
        <v>18</v>
      </c>
      <c r="D9" t="s">
        <v>9</v>
      </c>
      <c r="E9">
        <v>9</v>
      </c>
      <c r="F9" s="2">
        <v>122.35</v>
      </c>
      <c r="G9" t="s">
        <v>19</v>
      </c>
    </row>
    <row r="10" spans="1:9">
      <c r="A10" t="s">
        <v>22</v>
      </c>
      <c r="B10" s="75">
        <v>45908</v>
      </c>
      <c r="C10" t="s">
        <v>8</v>
      </c>
      <c r="D10" t="s">
        <v>23</v>
      </c>
      <c r="E10">
        <v>7</v>
      </c>
      <c r="F10" s="2">
        <v>55.16</v>
      </c>
      <c r="G10" t="s">
        <v>19</v>
      </c>
    </row>
    <row r="11" spans="1:9">
      <c r="A11" t="s">
        <v>24</v>
      </c>
      <c r="B11" s="75">
        <v>45697</v>
      </c>
      <c r="C11" t="s">
        <v>8</v>
      </c>
      <c r="D11" t="s">
        <v>9</v>
      </c>
      <c r="E11">
        <v>3</v>
      </c>
      <c r="F11" s="2">
        <v>41.85</v>
      </c>
      <c r="G11" t="s">
        <v>10</v>
      </c>
    </row>
    <row r="12" spans="1:9">
      <c r="A12" t="s">
        <v>25</v>
      </c>
      <c r="B12" s="75">
        <v>46059</v>
      </c>
      <c r="C12" t="s">
        <v>8</v>
      </c>
      <c r="D12" t="s">
        <v>15</v>
      </c>
      <c r="E12">
        <v>6</v>
      </c>
      <c r="F12" s="2">
        <v>45.07</v>
      </c>
      <c r="G12" t="s">
        <v>10</v>
      </c>
    </row>
    <row r="13" spans="1:9">
      <c r="A13" t="s">
        <v>26</v>
      </c>
      <c r="B13" s="75">
        <v>46011</v>
      </c>
      <c r="C13" t="s">
        <v>8</v>
      </c>
      <c r="D13" t="s">
        <v>15</v>
      </c>
      <c r="E13">
        <v>2</v>
      </c>
      <c r="F13" s="2">
        <v>42.03</v>
      </c>
      <c r="G13" t="s">
        <v>10</v>
      </c>
    </row>
    <row r="14" spans="1:9">
      <c r="A14" t="s">
        <v>27</v>
      </c>
      <c r="B14" s="75">
        <v>45914</v>
      </c>
      <c r="C14" t="s">
        <v>8</v>
      </c>
      <c r="D14" t="s">
        <v>23</v>
      </c>
      <c r="E14">
        <v>1</v>
      </c>
      <c r="F14" s="2">
        <v>55.71</v>
      </c>
      <c r="G14" t="s">
        <v>10</v>
      </c>
    </row>
    <row r="15" spans="1:9">
      <c r="A15" t="s">
        <v>28</v>
      </c>
      <c r="B15" s="75">
        <v>45822</v>
      </c>
      <c r="C15" t="s">
        <v>8</v>
      </c>
      <c r="D15" t="s">
        <v>23</v>
      </c>
      <c r="E15">
        <v>10</v>
      </c>
      <c r="F15" s="2">
        <v>47.23</v>
      </c>
      <c r="G15" t="s">
        <v>29</v>
      </c>
    </row>
    <row r="16" spans="1:9">
      <c r="A16" t="s">
        <v>30</v>
      </c>
      <c r="B16" s="75">
        <v>46000</v>
      </c>
      <c r="C16" t="s">
        <v>8</v>
      </c>
      <c r="D16" t="s">
        <v>9</v>
      </c>
      <c r="E16">
        <v>4</v>
      </c>
      <c r="F16" s="2">
        <v>43.09</v>
      </c>
      <c r="G16" t="s">
        <v>10</v>
      </c>
    </row>
    <row r="17" spans="1:7">
      <c r="A17" t="s">
        <v>31</v>
      </c>
      <c r="B17" s="75">
        <v>45698</v>
      </c>
      <c r="C17" t="s">
        <v>8</v>
      </c>
      <c r="D17" t="s">
        <v>23</v>
      </c>
      <c r="E17">
        <v>1</v>
      </c>
      <c r="F17" s="2">
        <v>45</v>
      </c>
      <c r="G17" t="s">
        <v>10</v>
      </c>
    </row>
    <row r="18" spans="1:7">
      <c r="A18" t="s">
        <v>32</v>
      </c>
      <c r="B18" s="75">
        <v>45832</v>
      </c>
      <c r="C18" t="s">
        <v>8</v>
      </c>
      <c r="D18" t="s">
        <v>23</v>
      </c>
      <c r="E18">
        <v>7</v>
      </c>
      <c r="F18" s="2">
        <v>53.8</v>
      </c>
      <c r="G18" t="s">
        <v>10</v>
      </c>
    </row>
    <row r="19" spans="1:7">
      <c r="A19" t="s">
        <v>33</v>
      </c>
      <c r="B19" s="75">
        <v>45688</v>
      </c>
      <c r="C19" t="s">
        <v>8</v>
      </c>
      <c r="D19" t="s">
        <v>9</v>
      </c>
      <c r="E19">
        <v>3</v>
      </c>
      <c r="F19" s="2">
        <v>41.94</v>
      </c>
      <c r="G19" t="s">
        <v>19</v>
      </c>
    </row>
    <row r="20" spans="1:7">
      <c r="A20" t="s">
        <v>306</v>
      </c>
      <c r="B20" s="75">
        <v>46038</v>
      </c>
      <c r="C20" t="s">
        <v>18</v>
      </c>
      <c r="D20" t="s">
        <v>23</v>
      </c>
      <c r="E20">
        <v>4</v>
      </c>
      <c r="F20" s="2">
        <v>115.92</v>
      </c>
      <c r="G20" t="s">
        <v>10</v>
      </c>
    </row>
    <row r="21" spans="1:7">
      <c r="A21" t="s">
        <v>34</v>
      </c>
      <c r="B21" s="75">
        <v>46222</v>
      </c>
      <c r="C21" t="s">
        <v>11</v>
      </c>
      <c r="D21" t="s">
        <v>23</v>
      </c>
      <c r="E21">
        <v>8</v>
      </c>
      <c r="F21" s="2">
        <v>69.040000000000006</v>
      </c>
      <c r="G21" t="s">
        <v>19</v>
      </c>
    </row>
    <row r="22" spans="1:7">
      <c r="A22" t="s">
        <v>35</v>
      </c>
      <c r="B22" s="75">
        <v>46224</v>
      </c>
      <c r="C22" t="s">
        <v>8</v>
      </c>
      <c r="D22" t="s">
        <v>23</v>
      </c>
      <c r="E22">
        <v>9</v>
      </c>
      <c r="F22" s="2">
        <v>49.1</v>
      </c>
      <c r="G22" t="s">
        <v>10</v>
      </c>
    </row>
    <row r="23" spans="1:7">
      <c r="A23" t="s">
        <v>36</v>
      </c>
      <c r="B23" s="75">
        <v>45811</v>
      </c>
      <c r="C23" t="s">
        <v>18</v>
      </c>
      <c r="D23" t="s">
        <v>23</v>
      </c>
      <c r="E23">
        <v>8</v>
      </c>
      <c r="F23" s="2">
        <v>122.97</v>
      </c>
      <c r="G23" t="s">
        <v>10</v>
      </c>
    </row>
    <row r="24" spans="1:7">
      <c r="A24" t="s">
        <v>37</v>
      </c>
      <c r="B24" s="75">
        <v>45854</v>
      </c>
      <c r="C24" t="s">
        <v>11</v>
      </c>
      <c r="D24" t="s">
        <v>9</v>
      </c>
      <c r="E24">
        <v>1</v>
      </c>
      <c r="F24" s="2">
        <v>65.22</v>
      </c>
      <c r="G24" t="s">
        <v>19</v>
      </c>
    </row>
    <row r="25" spans="1:7">
      <c r="A25" t="s">
        <v>38</v>
      </c>
      <c r="B25" s="75">
        <v>45960</v>
      </c>
      <c r="C25" t="s">
        <v>8</v>
      </c>
      <c r="D25" t="s">
        <v>15</v>
      </c>
      <c r="E25">
        <v>7</v>
      </c>
      <c r="F25" s="2">
        <v>45.26</v>
      </c>
      <c r="G25" t="s">
        <v>10</v>
      </c>
    </row>
    <row r="26" spans="1:7">
      <c r="A26" t="s">
        <v>40</v>
      </c>
      <c r="B26" s="75">
        <v>46050</v>
      </c>
      <c r="C26" t="s">
        <v>18</v>
      </c>
      <c r="D26" t="s">
        <v>23</v>
      </c>
      <c r="E26">
        <v>2</v>
      </c>
      <c r="F26" s="2">
        <v>142.34</v>
      </c>
      <c r="G26" t="s">
        <v>19</v>
      </c>
    </row>
    <row r="27" spans="1:7">
      <c r="A27" t="s">
        <v>41</v>
      </c>
      <c r="B27" s="75">
        <v>45886</v>
      </c>
      <c r="C27" t="s">
        <v>18</v>
      </c>
      <c r="D27" t="s">
        <v>15</v>
      </c>
      <c r="E27">
        <v>6</v>
      </c>
      <c r="F27" s="2">
        <v>115.74</v>
      </c>
      <c r="G27" t="s">
        <v>19</v>
      </c>
    </row>
    <row r="28" spans="1:7">
      <c r="A28" t="s">
        <v>42</v>
      </c>
      <c r="B28" s="75">
        <v>45708</v>
      </c>
      <c r="C28" t="s">
        <v>8</v>
      </c>
      <c r="D28" t="s">
        <v>23</v>
      </c>
      <c r="E28">
        <v>7</v>
      </c>
      <c r="F28" s="2">
        <v>54.69</v>
      </c>
      <c r="G28" t="s">
        <v>10</v>
      </c>
    </row>
    <row r="29" spans="1:7">
      <c r="A29" t="s">
        <v>43</v>
      </c>
      <c r="B29" s="75">
        <v>45763</v>
      </c>
      <c r="C29" t="s">
        <v>44</v>
      </c>
      <c r="D29" t="s">
        <v>23</v>
      </c>
      <c r="E29">
        <v>2</v>
      </c>
      <c r="F29" s="2">
        <v>112.14</v>
      </c>
      <c r="G29" t="s">
        <v>10</v>
      </c>
    </row>
    <row r="30" spans="1:7">
      <c r="A30" t="s">
        <v>45</v>
      </c>
      <c r="B30" s="75">
        <v>45971</v>
      </c>
      <c r="C30" t="s">
        <v>11</v>
      </c>
      <c r="D30" t="s">
        <v>9</v>
      </c>
      <c r="E30">
        <v>8</v>
      </c>
      <c r="F30" s="2">
        <v>79.8</v>
      </c>
      <c r="G30" t="s">
        <v>10</v>
      </c>
    </row>
    <row r="31" spans="1:7">
      <c r="A31" t="s">
        <v>46</v>
      </c>
      <c r="B31" s="75">
        <v>46027</v>
      </c>
      <c r="C31" t="s">
        <v>8</v>
      </c>
      <c r="D31" t="s">
        <v>9</v>
      </c>
      <c r="E31">
        <v>2</v>
      </c>
      <c r="F31" s="2">
        <v>81.31</v>
      </c>
      <c r="G31" t="s">
        <v>13</v>
      </c>
    </row>
    <row r="32" spans="1:7">
      <c r="A32" t="s">
        <v>48</v>
      </c>
      <c r="B32" s="75">
        <v>45795</v>
      </c>
      <c r="C32" t="s">
        <v>44</v>
      </c>
      <c r="D32" t="s">
        <v>15</v>
      </c>
      <c r="E32">
        <v>4</v>
      </c>
      <c r="F32" s="2">
        <v>113.57</v>
      </c>
      <c r="G32" t="s">
        <v>10</v>
      </c>
    </row>
    <row r="33" spans="1:7">
      <c r="A33" t="s">
        <v>49</v>
      </c>
      <c r="B33" s="75" t="s">
        <v>389</v>
      </c>
      <c r="C33" t="s">
        <v>8</v>
      </c>
      <c r="D33" t="s">
        <v>23</v>
      </c>
      <c r="E33">
        <v>8</v>
      </c>
      <c r="F33" s="2">
        <v>43.87</v>
      </c>
      <c r="G33" t="s">
        <v>10</v>
      </c>
    </row>
    <row r="34" spans="1:7">
      <c r="A34" t="s">
        <v>50</v>
      </c>
      <c r="B34" s="75">
        <v>45933</v>
      </c>
      <c r="C34" t="s">
        <v>11</v>
      </c>
      <c r="D34" t="s">
        <v>9</v>
      </c>
      <c r="E34">
        <v>3</v>
      </c>
      <c r="F34" s="2">
        <v>68.260000000000005</v>
      </c>
      <c r="G34" t="s">
        <v>10</v>
      </c>
    </row>
    <row r="35" spans="1:7">
      <c r="A35" t="s">
        <v>51</v>
      </c>
      <c r="B35" s="75">
        <v>46232</v>
      </c>
      <c r="C35" t="s">
        <v>11</v>
      </c>
      <c r="D35" t="s">
        <v>15</v>
      </c>
      <c r="E35">
        <v>4</v>
      </c>
      <c r="F35" s="2">
        <v>75.510000000000005</v>
      </c>
      <c r="G35" t="s">
        <v>13</v>
      </c>
    </row>
    <row r="36" spans="1:7">
      <c r="A36" t="s">
        <v>52</v>
      </c>
      <c r="B36" s="75">
        <v>46137</v>
      </c>
      <c r="C36" t="s">
        <v>8</v>
      </c>
      <c r="D36" t="s">
        <v>9</v>
      </c>
      <c r="E36">
        <v>3</v>
      </c>
      <c r="F36" s="2">
        <v>43.98</v>
      </c>
      <c r="G36" t="s">
        <v>10</v>
      </c>
    </row>
    <row r="37" spans="1:7">
      <c r="A37" t="s">
        <v>53</v>
      </c>
      <c r="B37" s="75">
        <v>45793</v>
      </c>
      <c r="C37" t="s">
        <v>11</v>
      </c>
      <c r="D37" t="s">
        <v>23</v>
      </c>
      <c r="E37">
        <v>6</v>
      </c>
      <c r="F37" s="2">
        <v>82.61</v>
      </c>
      <c r="G37" t="s">
        <v>10</v>
      </c>
    </row>
    <row r="38" spans="1:7">
      <c r="A38" t="s">
        <v>54</v>
      </c>
      <c r="B38" s="75">
        <v>46119</v>
      </c>
      <c r="C38" t="s">
        <v>8</v>
      </c>
      <c r="D38" t="s">
        <v>23</v>
      </c>
      <c r="E38">
        <v>7</v>
      </c>
      <c r="F38" s="2">
        <v>119.02</v>
      </c>
      <c r="G38" t="s">
        <v>19</v>
      </c>
    </row>
    <row r="39" spans="1:7">
      <c r="A39" t="s">
        <v>55</v>
      </c>
      <c r="B39" s="75">
        <v>46150</v>
      </c>
      <c r="C39" t="s">
        <v>8</v>
      </c>
      <c r="D39" t="s">
        <v>9</v>
      </c>
      <c r="E39">
        <v>3</v>
      </c>
      <c r="F39" s="2">
        <v>50.12</v>
      </c>
      <c r="G39" t="s">
        <v>19</v>
      </c>
    </row>
    <row r="40" spans="1:7">
      <c r="A40" t="s">
        <v>56</v>
      </c>
      <c r="B40" s="75">
        <v>45754</v>
      </c>
      <c r="C40" t="s">
        <v>8</v>
      </c>
      <c r="D40" t="s">
        <v>15</v>
      </c>
      <c r="E40">
        <v>4</v>
      </c>
      <c r="F40" s="2">
        <v>41.75</v>
      </c>
      <c r="G40" t="s">
        <v>10</v>
      </c>
    </row>
    <row r="41" spans="1:7">
      <c r="A41" t="s">
        <v>57</v>
      </c>
      <c r="B41" s="75">
        <v>45706</v>
      </c>
      <c r="C41" t="s">
        <v>8</v>
      </c>
      <c r="D41" t="s">
        <v>23</v>
      </c>
      <c r="E41">
        <v>5</v>
      </c>
      <c r="F41" s="2">
        <v>43.17</v>
      </c>
      <c r="G41" t="s">
        <v>10</v>
      </c>
    </row>
    <row r="42" spans="1:7">
      <c r="A42" t="s">
        <v>58</v>
      </c>
      <c r="B42" s="75" t="s">
        <v>389</v>
      </c>
      <c r="C42" t="s">
        <v>44</v>
      </c>
      <c r="D42" t="s">
        <v>15</v>
      </c>
      <c r="E42">
        <v>1</v>
      </c>
      <c r="F42" s="2">
        <v>94.46</v>
      </c>
      <c r="G42" t="s">
        <v>13</v>
      </c>
    </row>
    <row r="43" spans="1:7">
      <c r="A43" t="s">
        <v>59</v>
      </c>
      <c r="B43" s="75">
        <v>45867</v>
      </c>
      <c r="C43" t="s">
        <v>18</v>
      </c>
      <c r="D43" t="s">
        <v>15</v>
      </c>
      <c r="E43">
        <v>9</v>
      </c>
      <c r="F43" s="2">
        <v>130.59</v>
      </c>
      <c r="G43" t="s">
        <v>10</v>
      </c>
    </row>
    <row r="44" spans="1:7">
      <c r="A44" t="s">
        <v>60</v>
      </c>
      <c r="B44" s="75">
        <v>46011</v>
      </c>
      <c r="C44" t="s">
        <v>11</v>
      </c>
      <c r="D44" t="s">
        <v>15</v>
      </c>
      <c r="E44">
        <v>4</v>
      </c>
      <c r="F44" s="2">
        <v>68.489999999999995</v>
      </c>
      <c r="G44" t="s">
        <v>19</v>
      </c>
    </row>
    <row r="45" spans="1:7">
      <c r="A45" t="s">
        <v>61</v>
      </c>
      <c r="B45" s="75">
        <v>45765</v>
      </c>
      <c r="C45" t="s">
        <v>8</v>
      </c>
      <c r="D45" t="s">
        <v>62</v>
      </c>
      <c r="E45">
        <v>10</v>
      </c>
      <c r="F45" s="2">
        <v>54.84</v>
      </c>
      <c r="G45" t="s">
        <v>10</v>
      </c>
    </row>
    <row r="46" spans="1:7">
      <c r="A46" t="s">
        <v>63</v>
      </c>
      <c r="B46" s="75">
        <v>45925</v>
      </c>
      <c r="C46" t="s">
        <v>11</v>
      </c>
      <c r="D46" t="s">
        <v>9</v>
      </c>
      <c r="E46">
        <v>6</v>
      </c>
      <c r="F46" s="2">
        <v>70.849999999999994</v>
      </c>
      <c r="G46" t="s">
        <v>10</v>
      </c>
    </row>
    <row r="47" spans="1:7">
      <c r="A47" t="s">
        <v>64</v>
      </c>
      <c r="B47" s="75">
        <v>45756</v>
      </c>
      <c r="C47" t="s">
        <v>8</v>
      </c>
      <c r="D47" t="s">
        <v>15</v>
      </c>
      <c r="E47">
        <v>9</v>
      </c>
      <c r="F47" s="2">
        <v>40.94</v>
      </c>
      <c r="G47" t="s">
        <v>10</v>
      </c>
    </row>
    <row r="48" spans="1:7">
      <c r="A48" t="s">
        <v>65</v>
      </c>
      <c r="B48" s="75">
        <v>45784</v>
      </c>
      <c r="C48" t="s">
        <v>11</v>
      </c>
      <c r="D48" t="s">
        <v>9</v>
      </c>
      <c r="E48">
        <v>2</v>
      </c>
      <c r="F48" s="2">
        <v>63.25</v>
      </c>
      <c r="G48" t="s">
        <v>10</v>
      </c>
    </row>
    <row r="49" spans="1:7">
      <c r="A49" t="s">
        <v>66</v>
      </c>
      <c r="B49" s="75">
        <v>46063</v>
      </c>
      <c r="C49" t="s">
        <v>44</v>
      </c>
      <c r="D49" t="s">
        <v>9</v>
      </c>
      <c r="E49">
        <v>10</v>
      </c>
      <c r="F49" s="2">
        <v>107.88</v>
      </c>
      <c r="G49" t="s">
        <v>13</v>
      </c>
    </row>
    <row r="50" spans="1:7">
      <c r="A50" t="s">
        <v>67</v>
      </c>
      <c r="B50" s="75">
        <v>46058</v>
      </c>
      <c r="C50" t="s">
        <v>8</v>
      </c>
      <c r="D50" t="s">
        <v>9</v>
      </c>
      <c r="E50">
        <v>8</v>
      </c>
      <c r="F50" s="2">
        <v>44.65</v>
      </c>
      <c r="G50" t="s">
        <v>13</v>
      </c>
    </row>
    <row r="51" spans="1:7">
      <c r="A51" t="s">
        <v>68</v>
      </c>
      <c r="B51" s="75">
        <v>45672</v>
      </c>
      <c r="C51" t="s">
        <v>18</v>
      </c>
      <c r="D51" t="s">
        <v>9</v>
      </c>
      <c r="E51">
        <v>6</v>
      </c>
      <c r="F51" s="2">
        <v>120.33</v>
      </c>
      <c r="G51" t="s">
        <v>13</v>
      </c>
    </row>
    <row r="52" spans="1:7">
      <c r="A52" t="s">
        <v>70</v>
      </c>
      <c r="B52" s="75">
        <v>45971</v>
      </c>
      <c r="C52" t="s">
        <v>8</v>
      </c>
      <c r="D52" t="s">
        <v>23</v>
      </c>
      <c r="E52">
        <v>45</v>
      </c>
      <c r="F52" s="2">
        <v>50.15</v>
      </c>
      <c r="G52" t="s">
        <v>10</v>
      </c>
    </row>
    <row r="53" spans="1:7">
      <c r="A53" t="s">
        <v>71</v>
      </c>
      <c r="B53" s="75">
        <v>46144</v>
      </c>
      <c r="C53" t="s">
        <v>8</v>
      </c>
      <c r="D53" t="s">
        <v>23</v>
      </c>
      <c r="E53">
        <v>6</v>
      </c>
      <c r="F53" s="2">
        <v>42.69</v>
      </c>
      <c r="G53" t="s">
        <v>10</v>
      </c>
    </row>
    <row r="54" spans="1:7">
      <c r="A54" t="s">
        <v>72</v>
      </c>
      <c r="B54" s="75">
        <v>45955</v>
      </c>
      <c r="C54" t="s">
        <v>8</v>
      </c>
      <c r="D54" t="s">
        <v>15</v>
      </c>
      <c r="E54">
        <v>2</v>
      </c>
      <c r="F54" s="2">
        <v>53.78</v>
      </c>
      <c r="G54" t="s">
        <v>19</v>
      </c>
    </row>
    <row r="55" spans="1:7">
      <c r="A55" t="s">
        <v>73</v>
      </c>
      <c r="B55" s="75">
        <v>46178</v>
      </c>
      <c r="C55" t="s">
        <v>11</v>
      </c>
      <c r="D55" t="s">
        <v>9</v>
      </c>
      <c r="E55">
        <v>6</v>
      </c>
      <c r="F55" s="2">
        <v>76.61</v>
      </c>
      <c r="G55" t="s">
        <v>13</v>
      </c>
    </row>
    <row r="56" spans="1:7">
      <c r="A56" t="s">
        <v>74</v>
      </c>
      <c r="B56" s="75">
        <v>45768</v>
      </c>
      <c r="C56" t="s">
        <v>44</v>
      </c>
      <c r="D56" t="s">
        <v>9</v>
      </c>
      <c r="E56">
        <v>1</v>
      </c>
      <c r="F56" s="2">
        <v>97.23</v>
      </c>
      <c r="G56" t="s">
        <v>10</v>
      </c>
    </row>
    <row r="57" spans="1:7">
      <c r="A57" t="s">
        <v>75</v>
      </c>
      <c r="B57" s="75">
        <v>45945</v>
      </c>
      <c r="C57" t="s">
        <v>11</v>
      </c>
      <c r="D57" t="s">
        <v>15</v>
      </c>
      <c r="E57">
        <v>10</v>
      </c>
      <c r="F57" s="2">
        <v>84.69</v>
      </c>
      <c r="G57" t="s">
        <v>10</v>
      </c>
    </row>
    <row r="58" spans="1:7">
      <c r="A58" t="s">
        <v>76</v>
      </c>
      <c r="B58" s="75">
        <v>46211</v>
      </c>
      <c r="C58" t="s">
        <v>8</v>
      </c>
      <c r="D58" t="s">
        <v>9</v>
      </c>
      <c r="E58">
        <v>7</v>
      </c>
      <c r="F58" s="2">
        <v>53.33</v>
      </c>
      <c r="G58" t="s">
        <v>10</v>
      </c>
    </row>
    <row r="59" spans="1:7">
      <c r="A59" t="s">
        <v>77</v>
      </c>
      <c r="B59" s="75">
        <v>45824</v>
      </c>
      <c r="C59" t="s">
        <v>44</v>
      </c>
      <c r="D59" t="s">
        <v>9</v>
      </c>
      <c r="E59">
        <v>4</v>
      </c>
      <c r="F59" s="2">
        <v>109.18</v>
      </c>
      <c r="G59" t="s">
        <v>13</v>
      </c>
    </row>
    <row r="60" spans="1:7">
      <c r="A60" t="s">
        <v>78</v>
      </c>
      <c r="B60" s="75">
        <v>45932</v>
      </c>
      <c r="C60" t="s">
        <v>8</v>
      </c>
      <c r="D60" t="s">
        <v>23</v>
      </c>
      <c r="E60">
        <v>7</v>
      </c>
      <c r="F60" s="2">
        <v>128.94999999999999</v>
      </c>
      <c r="G60" t="s">
        <v>29</v>
      </c>
    </row>
    <row r="61" spans="1:7">
      <c r="A61" t="s">
        <v>79</v>
      </c>
      <c r="B61" s="75">
        <v>45759</v>
      </c>
      <c r="C61" t="s">
        <v>44</v>
      </c>
      <c r="D61" t="s">
        <v>23</v>
      </c>
      <c r="E61">
        <v>10</v>
      </c>
      <c r="F61" s="2">
        <v>86.81</v>
      </c>
      <c r="G61" t="s">
        <v>10</v>
      </c>
    </row>
    <row r="62" spans="1:7">
      <c r="A62" t="s">
        <v>80</v>
      </c>
      <c r="B62" s="75">
        <v>45985</v>
      </c>
      <c r="C62" t="s">
        <v>8</v>
      </c>
      <c r="D62" t="s">
        <v>23</v>
      </c>
      <c r="E62">
        <v>6</v>
      </c>
      <c r="F62" s="2">
        <v>40.729999999999997</v>
      </c>
      <c r="G62" t="s">
        <v>13</v>
      </c>
    </row>
    <row r="63" spans="1:7">
      <c r="A63" t="s">
        <v>81</v>
      </c>
      <c r="B63" s="75">
        <v>46210</v>
      </c>
      <c r="C63" t="s">
        <v>8</v>
      </c>
      <c r="D63" t="s">
        <v>23</v>
      </c>
      <c r="E63">
        <v>2</v>
      </c>
      <c r="F63" s="2">
        <v>76.61</v>
      </c>
      <c r="G63" t="s">
        <v>13</v>
      </c>
    </row>
    <row r="64" spans="1:7">
      <c r="A64" t="s">
        <v>82</v>
      </c>
      <c r="B64" s="75">
        <v>45976</v>
      </c>
      <c r="C64" t="s">
        <v>11</v>
      </c>
      <c r="D64" t="s">
        <v>15</v>
      </c>
      <c r="E64">
        <v>3</v>
      </c>
      <c r="F64" s="2">
        <v>64.959999999999994</v>
      </c>
      <c r="G64" t="s">
        <v>13</v>
      </c>
    </row>
    <row r="65" spans="1:7">
      <c r="A65" t="s">
        <v>83</v>
      </c>
      <c r="B65" s="75">
        <v>45753</v>
      </c>
      <c r="C65" t="s">
        <v>18</v>
      </c>
      <c r="D65" t="s">
        <v>15</v>
      </c>
      <c r="E65">
        <v>3</v>
      </c>
      <c r="F65" s="2">
        <v>132.94999999999999</v>
      </c>
      <c r="G65" t="s">
        <v>10</v>
      </c>
    </row>
    <row r="66" spans="1:7">
      <c r="A66" t="s">
        <v>84</v>
      </c>
      <c r="B66" s="75">
        <v>45715</v>
      </c>
      <c r="C66" t="s">
        <v>11</v>
      </c>
      <c r="D66" t="s">
        <v>9</v>
      </c>
      <c r="E66">
        <v>3</v>
      </c>
      <c r="F66" s="2">
        <v>71.98</v>
      </c>
      <c r="G66" t="s">
        <v>10</v>
      </c>
    </row>
    <row r="67" spans="1:7">
      <c r="A67" t="s">
        <v>85</v>
      </c>
      <c r="B67" s="75">
        <v>45871</v>
      </c>
      <c r="C67" t="s">
        <v>8</v>
      </c>
      <c r="D67" t="s">
        <v>9</v>
      </c>
      <c r="E67">
        <v>5</v>
      </c>
      <c r="F67" s="2">
        <v>51.45</v>
      </c>
      <c r="G67" t="s">
        <v>10</v>
      </c>
    </row>
    <row r="68" spans="1:7">
      <c r="A68" t="s">
        <v>86</v>
      </c>
      <c r="B68" s="75">
        <v>45763</v>
      </c>
      <c r="C68" t="s">
        <v>8</v>
      </c>
      <c r="D68" t="s">
        <v>9</v>
      </c>
      <c r="E68">
        <v>1</v>
      </c>
      <c r="F68" s="2">
        <v>42.07</v>
      </c>
      <c r="G68" t="s">
        <v>19</v>
      </c>
    </row>
    <row r="69" spans="1:7">
      <c r="A69" t="s">
        <v>87</v>
      </c>
      <c r="B69" s="75">
        <v>45962</v>
      </c>
      <c r="C69" t="s">
        <v>18</v>
      </c>
      <c r="D69" t="s">
        <v>9</v>
      </c>
      <c r="E69">
        <v>1</v>
      </c>
      <c r="F69" s="2">
        <v>116.29</v>
      </c>
      <c r="G69" t="s">
        <v>10</v>
      </c>
    </row>
    <row r="70" spans="1:7">
      <c r="A70" t="s">
        <v>88</v>
      </c>
      <c r="B70" s="75">
        <v>45681</v>
      </c>
      <c r="C70" t="s">
        <v>8</v>
      </c>
      <c r="D70" t="s">
        <v>15</v>
      </c>
      <c r="E70">
        <v>1</v>
      </c>
      <c r="F70" s="2">
        <v>48.81</v>
      </c>
      <c r="G70" t="s">
        <v>89</v>
      </c>
    </row>
    <row r="71" spans="1:7">
      <c r="A71" t="s">
        <v>90</v>
      </c>
      <c r="B71" s="75" t="s">
        <v>389</v>
      </c>
      <c r="C71" t="s">
        <v>8</v>
      </c>
      <c r="D71" t="s">
        <v>23</v>
      </c>
      <c r="E71">
        <v>5</v>
      </c>
      <c r="F71" s="2">
        <v>53.6</v>
      </c>
      <c r="G71" t="s">
        <v>10</v>
      </c>
    </row>
    <row r="72" spans="1:7">
      <c r="A72" t="s">
        <v>91</v>
      </c>
      <c r="B72" s="75">
        <v>46213</v>
      </c>
      <c r="C72" t="s">
        <v>8</v>
      </c>
      <c r="D72" t="s">
        <v>23</v>
      </c>
      <c r="E72">
        <v>40</v>
      </c>
      <c r="F72" s="2">
        <v>43.31</v>
      </c>
      <c r="G72" t="s">
        <v>13</v>
      </c>
    </row>
    <row r="73" spans="1:7">
      <c r="A73" t="s">
        <v>92</v>
      </c>
      <c r="B73" s="75">
        <v>45719</v>
      </c>
      <c r="C73" t="s">
        <v>18</v>
      </c>
      <c r="D73" t="s">
        <v>23</v>
      </c>
      <c r="E73">
        <v>9</v>
      </c>
      <c r="F73" s="2">
        <v>147.33000000000001</v>
      </c>
      <c r="G73" t="s">
        <v>19</v>
      </c>
    </row>
    <row r="74" spans="1:7">
      <c r="A74" t="s">
        <v>93</v>
      </c>
      <c r="B74" s="75">
        <v>45959</v>
      </c>
      <c r="C74" t="s">
        <v>8</v>
      </c>
      <c r="D74" t="s">
        <v>23</v>
      </c>
      <c r="E74">
        <v>3</v>
      </c>
      <c r="F74" s="2">
        <v>48.56</v>
      </c>
      <c r="G74" t="s">
        <v>10</v>
      </c>
    </row>
    <row r="75" spans="1:7">
      <c r="A75" t="s">
        <v>94</v>
      </c>
      <c r="B75" s="75">
        <v>46127</v>
      </c>
      <c r="C75" t="s">
        <v>8</v>
      </c>
      <c r="D75" t="s">
        <v>15</v>
      </c>
      <c r="E75">
        <v>4</v>
      </c>
      <c r="F75" s="2">
        <v>40.75</v>
      </c>
      <c r="G75" t="s">
        <v>95</v>
      </c>
    </row>
    <row r="76" spans="1:7">
      <c r="A76" t="s">
        <v>307</v>
      </c>
      <c r="B76" s="75">
        <v>46079</v>
      </c>
      <c r="C76" t="s">
        <v>8</v>
      </c>
      <c r="D76" t="s">
        <v>9</v>
      </c>
      <c r="E76">
        <v>5</v>
      </c>
      <c r="F76" s="2">
        <v>42.32</v>
      </c>
      <c r="G76" t="s">
        <v>10</v>
      </c>
    </row>
    <row r="77" spans="1:7">
      <c r="A77" t="s">
        <v>308</v>
      </c>
      <c r="B77" s="75">
        <v>46011</v>
      </c>
      <c r="C77" t="s">
        <v>8</v>
      </c>
      <c r="D77" t="s">
        <v>9</v>
      </c>
      <c r="E77">
        <v>9</v>
      </c>
      <c r="F77" s="2">
        <v>51.81</v>
      </c>
      <c r="G77" t="s">
        <v>10</v>
      </c>
    </row>
    <row r="78" spans="1:7">
      <c r="A78" t="s">
        <v>96</v>
      </c>
      <c r="B78" s="75">
        <v>46042</v>
      </c>
      <c r="C78" t="s">
        <v>11</v>
      </c>
      <c r="D78" t="s">
        <v>23</v>
      </c>
      <c r="E78">
        <v>4</v>
      </c>
      <c r="F78" s="2">
        <v>64.97</v>
      </c>
      <c r="G78" t="s">
        <v>10</v>
      </c>
    </row>
    <row r="79" spans="1:7">
      <c r="A79" t="s">
        <v>97</v>
      </c>
      <c r="B79" s="75">
        <v>45805</v>
      </c>
      <c r="C79" t="s">
        <v>8</v>
      </c>
      <c r="D79" t="s">
        <v>15</v>
      </c>
      <c r="E79">
        <v>4</v>
      </c>
      <c r="F79" s="2">
        <v>47.45</v>
      </c>
      <c r="G79" t="s">
        <v>10</v>
      </c>
    </row>
    <row r="80" spans="1:7">
      <c r="A80" t="s">
        <v>98</v>
      </c>
      <c r="B80" s="75">
        <v>45768</v>
      </c>
      <c r="C80" t="s">
        <v>18</v>
      </c>
      <c r="D80" t="s">
        <v>9</v>
      </c>
      <c r="E80">
        <v>2</v>
      </c>
      <c r="F80" s="2">
        <v>145</v>
      </c>
      <c r="G80" t="s">
        <v>10</v>
      </c>
    </row>
    <row r="81" spans="1:7">
      <c r="A81" t="s">
        <v>100</v>
      </c>
      <c r="B81" s="75">
        <v>45956</v>
      </c>
      <c r="C81" t="s">
        <v>8</v>
      </c>
      <c r="D81" t="s">
        <v>23</v>
      </c>
      <c r="E81">
        <v>7</v>
      </c>
      <c r="F81" s="2">
        <v>49.46</v>
      </c>
      <c r="G81" t="s">
        <v>10</v>
      </c>
    </row>
    <row r="82" spans="1:7">
      <c r="A82" t="s">
        <v>101</v>
      </c>
      <c r="B82" s="75">
        <v>45756</v>
      </c>
      <c r="C82" t="s">
        <v>11</v>
      </c>
      <c r="D82" t="s">
        <v>9</v>
      </c>
      <c r="E82">
        <v>9</v>
      </c>
      <c r="F82" s="2">
        <v>80.239999999999995</v>
      </c>
      <c r="G82" t="s">
        <v>10</v>
      </c>
    </row>
    <row r="83" spans="1:7">
      <c r="A83" t="s">
        <v>102</v>
      </c>
      <c r="B83" s="75">
        <v>45820</v>
      </c>
      <c r="C83" t="s">
        <v>44</v>
      </c>
      <c r="D83" t="s">
        <v>23</v>
      </c>
      <c r="E83">
        <v>8</v>
      </c>
      <c r="F83" s="2">
        <v>106.81</v>
      </c>
      <c r="G83" t="s">
        <v>10</v>
      </c>
    </row>
    <row r="84" spans="1:7">
      <c r="A84" t="s">
        <v>103</v>
      </c>
      <c r="B84" s="75">
        <v>45874</v>
      </c>
      <c r="C84" t="s">
        <v>11</v>
      </c>
      <c r="D84" t="s">
        <v>15</v>
      </c>
      <c r="E84">
        <v>7</v>
      </c>
      <c r="F84" s="2">
        <v>76.61</v>
      </c>
      <c r="G84" t="s">
        <v>10</v>
      </c>
    </row>
    <row r="85" spans="1:7">
      <c r="A85" t="s">
        <v>104</v>
      </c>
      <c r="B85" s="75">
        <v>46218</v>
      </c>
      <c r="C85" t="s">
        <v>8</v>
      </c>
      <c r="D85" t="s">
        <v>15</v>
      </c>
      <c r="E85">
        <v>5</v>
      </c>
      <c r="F85" s="2">
        <v>76.61</v>
      </c>
      <c r="G85" t="s">
        <v>19</v>
      </c>
    </row>
    <row r="86" spans="1:7">
      <c r="A86" t="s">
        <v>105</v>
      </c>
      <c r="B86" s="75">
        <v>45768</v>
      </c>
      <c r="C86" t="s">
        <v>18</v>
      </c>
      <c r="D86" t="s">
        <v>23</v>
      </c>
      <c r="E86">
        <v>3</v>
      </c>
      <c r="F86" s="2">
        <v>76.61</v>
      </c>
      <c r="G86" t="s">
        <v>10</v>
      </c>
    </row>
    <row r="87" spans="1:7">
      <c r="A87" t="s">
        <v>106</v>
      </c>
      <c r="B87" s="75">
        <v>45960</v>
      </c>
      <c r="C87" t="s">
        <v>8</v>
      </c>
      <c r="D87" t="s">
        <v>23</v>
      </c>
      <c r="E87">
        <v>10</v>
      </c>
      <c r="F87" s="2">
        <v>53.29</v>
      </c>
      <c r="G87" t="s">
        <v>19</v>
      </c>
    </row>
    <row r="88" spans="1:7">
      <c r="A88" t="s">
        <v>107</v>
      </c>
      <c r="B88" s="75">
        <v>46045</v>
      </c>
      <c r="C88" t="s">
        <v>8</v>
      </c>
      <c r="D88" t="s">
        <v>15</v>
      </c>
      <c r="E88">
        <v>4</v>
      </c>
      <c r="F88" s="2">
        <v>45.19</v>
      </c>
      <c r="G88" t="s">
        <v>13</v>
      </c>
    </row>
    <row r="89" spans="1:7">
      <c r="A89" t="s">
        <v>108</v>
      </c>
      <c r="B89" s="75">
        <v>45753</v>
      </c>
      <c r="C89" t="s">
        <v>8</v>
      </c>
      <c r="D89" t="s">
        <v>9</v>
      </c>
      <c r="E89">
        <v>7</v>
      </c>
      <c r="F89" s="2">
        <v>76.61</v>
      </c>
      <c r="G89" t="s">
        <v>10</v>
      </c>
    </row>
    <row r="90" spans="1:7">
      <c r="A90" t="s">
        <v>39</v>
      </c>
      <c r="B90" s="75">
        <v>45747</v>
      </c>
      <c r="C90" t="s">
        <v>8</v>
      </c>
      <c r="D90" t="s">
        <v>9</v>
      </c>
      <c r="E90">
        <v>4</v>
      </c>
      <c r="F90" s="2">
        <v>41.79</v>
      </c>
      <c r="G90" t="s">
        <v>29</v>
      </c>
    </row>
    <row r="91" spans="1:7">
      <c r="A91" t="s">
        <v>109</v>
      </c>
      <c r="B91" s="75">
        <v>45891</v>
      </c>
      <c r="C91" t="s">
        <v>8</v>
      </c>
      <c r="D91" t="s">
        <v>9</v>
      </c>
      <c r="E91">
        <v>4</v>
      </c>
      <c r="F91" s="2">
        <v>76.61</v>
      </c>
      <c r="G91" t="s">
        <v>10</v>
      </c>
    </row>
    <row r="92" spans="1:7">
      <c r="A92" t="s">
        <v>110</v>
      </c>
      <c r="B92" s="75">
        <v>45660</v>
      </c>
      <c r="C92" t="s">
        <v>18</v>
      </c>
      <c r="D92" t="s">
        <v>9</v>
      </c>
      <c r="E92">
        <v>2</v>
      </c>
      <c r="F92" s="2">
        <v>76.61</v>
      </c>
      <c r="G92" t="s">
        <v>10</v>
      </c>
    </row>
    <row r="93" spans="1:7">
      <c r="A93" t="s">
        <v>111</v>
      </c>
      <c r="B93" s="75">
        <v>46227</v>
      </c>
      <c r="C93" t="s">
        <v>8</v>
      </c>
      <c r="D93" t="s">
        <v>9</v>
      </c>
      <c r="E93">
        <v>5</v>
      </c>
      <c r="F93" s="2">
        <v>52.72</v>
      </c>
      <c r="G93" t="s">
        <v>10</v>
      </c>
    </row>
    <row r="94" spans="1:7">
      <c r="A94" t="s">
        <v>112</v>
      </c>
      <c r="B94" s="75">
        <v>45997</v>
      </c>
      <c r="C94" t="s">
        <v>113</v>
      </c>
      <c r="D94" t="s">
        <v>9</v>
      </c>
      <c r="E94">
        <v>7</v>
      </c>
      <c r="F94" s="2">
        <v>48.65</v>
      </c>
      <c r="G94" t="s">
        <v>29</v>
      </c>
    </row>
    <row r="95" spans="1:7">
      <c r="A95" t="s">
        <v>114</v>
      </c>
      <c r="B95" s="75">
        <v>45787</v>
      </c>
      <c r="C95" t="s">
        <v>18</v>
      </c>
      <c r="D95" t="s">
        <v>15</v>
      </c>
      <c r="E95">
        <v>2</v>
      </c>
      <c r="F95" s="2">
        <v>122.31</v>
      </c>
      <c r="G95" t="s">
        <v>10</v>
      </c>
    </row>
    <row r="96" spans="1:7">
      <c r="A96" t="s">
        <v>115</v>
      </c>
      <c r="B96" s="75">
        <v>45936</v>
      </c>
      <c r="C96" t="s">
        <v>8</v>
      </c>
      <c r="D96" t="s">
        <v>23</v>
      </c>
      <c r="E96">
        <v>3</v>
      </c>
      <c r="F96" s="2">
        <v>51.02</v>
      </c>
      <c r="G96" t="s">
        <v>10</v>
      </c>
    </row>
    <row r="97" spans="1:7">
      <c r="A97" t="s">
        <v>116</v>
      </c>
      <c r="B97" s="75">
        <v>46231</v>
      </c>
      <c r="C97" t="s">
        <v>44</v>
      </c>
      <c r="D97" t="s">
        <v>23</v>
      </c>
      <c r="E97">
        <v>6</v>
      </c>
      <c r="F97" s="2">
        <v>104.17</v>
      </c>
      <c r="G97" t="s">
        <v>10</v>
      </c>
    </row>
    <row r="98" spans="1:7">
      <c r="A98" t="s">
        <v>117</v>
      </c>
      <c r="B98" s="75">
        <v>45985</v>
      </c>
      <c r="C98" t="s">
        <v>8</v>
      </c>
      <c r="D98" t="s">
        <v>9</v>
      </c>
      <c r="E98">
        <v>9</v>
      </c>
      <c r="F98" s="2">
        <v>51.18</v>
      </c>
      <c r="G98" t="s">
        <v>19</v>
      </c>
    </row>
    <row r="99" spans="1:7">
      <c r="A99" t="s">
        <v>118</v>
      </c>
      <c r="B99" s="75" t="s">
        <v>389</v>
      </c>
      <c r="C99" t="s">
        <v>11</v>
      </c>
      <c r="D99" t="s">
        <v>23</v>
      </c>
      <c r="E99">
        <v>9</v>
      </c>
      <c r="F99" s="2">
        <v>81.3</v>
      </c>
      <c r="G99" t="s">
        <v>13</v>
      </c>
    </row>
    <row r="100" spans="1:7">
      <c r="A100" t="s">
        <v>119</v>
      </c>
      <c r="B100" s="75">
        <v>45806</v>
      </c>
      <c r="C100" t="s">
        <v>18</v>
      </c>
      <c r="D100" t="s">
        <v>15</v>
      </c>
      <c r="E100">
        <v>10</v>
      </c>
      <c r="F100" s="2">
        <v>118.32</v>
      </c>
      <c r="G100" t="s">
        <v>10</v>
      </c>
    </row>
    <row r="101" spans="1:7">
      <c r="A101" t="s">
        <v>120</v>
      </c>
      <c r="B101" s="75">
        <v>45788</v>
      </c>
      <c r="C101" t="s">
        <v>18</v>
      </c>
      <c r="D101" t="s">
        <v>15</v>
      </c>
      <c r="E101">
        <v>3</v>
      </c>
      <c r="F101" s="2">
        <v>122.21</v>
      </c>
      <c r="G101" t="s">
        <v>10</v>
      </c>
    </row>
    <row r="102" spans="1:7">
      <c r="A102" t="s">
        <v>121</v>
      </c>
      <c r="B102" s="75">
        <v>46185</v>
      </c>
      <c r="C102" t="s">
        <v>11</v>
      </c>
      <c r="D102" t="s">
        <v>9</v>
      </c>
      <c r="E102">
        <v>7</v>
      </c>
      <c r="F102" s="2">
        <v>75.23</v>
      </c>
      <c r="G102" t="s">
        <v>10</v>
      </c>
    </row>
    <row r="103" spans="1:7">
      <c r="A103" t="s">
        <v>122</v>
      </c>
      <c r="B103" s="75">
        <v>45872</v>
      </c>
      <c r="C103" t="s">
        <v>11</v>
      </c>
      <c r="D103" t="s">
        <v>9</v>
      </c>
      <c r="E103">
        <v>6</v>
      </c>
      <c r="F103" s="2">
        <v>73.56</v>
      </c>
      <c r="G103" t="s">
        <v>10</v>
      </c>
    </row>
    <row r="104" spans="1:7">
      <c r="A104" t="s">
        <v>123</v>
      </c>
      <c r="B104" s="75">
        <v>45864</v>
      </c>
      <c r="C104" t="s">
        <v>8</v>
      </c>
      <c r="D104" t="s">
        <v>9</v>
      </c>
      <c r="E104">
        <v>7</v>
      </c>
      <c r="F104" s="2">
        <v>43.04</v>
      </c>
      <c r="G104" t="s">
        <v>10</v>
      </c>
    </row>
    <row r="105" spans="1:7">
      <c r="A105" t="s">
        <v>125</v>
      </c>
      <c r="B105" s="75">
        <v>46067</v>
      </c>
      <c r="C105" t="s">
        <v>8</v>
      </c>
      <c r="D105" t="s">
        <v>23</v>
      </c>
      <c r="E105">
        <v>2</v>
      </c>
      <c r="F105" s="2">
        <v>53.39</v>
      </c>
      <c r="G105" t="s">
        <v>19</v>
      </c>
    </row>
    <row r="106" spans="1:7">
      <c r="A106" t="s">
        <v>309</v>
      </c>
      <c r="B106" s="75">
        <v>45659</v>
      </c>
      <c r="C106" t="s">
        <v>11</v>
      </c>
      <c r="D106" t="s">
        <v>9</v>
      </c>
      <c r="E106">
        <v>6</v>
      </c>
      <c r="F106" s="2">
        <v>67.040000000000006</v>
      </c>
      <c r="G106" t="s">
        <v>19</v>
      </c>
    </row>
    <row r="107" spans="1:7">
      <c r="A107" t="s">
        <v>126</v>
      </c>
      <c r="B107" s="75">
        <v>46097</v>
      </c>
      <c r="C107" t="s">
        <v>8</v>
      </c>
      <c r="D107" t="s">
        <v>23</v>
      </c>
      <c r="E107">
        <v>7</v>
      </c>
      <c r="F107" s="2">
        <v>53.26</v>
      </c>
      <c r="G107" t="s">
        <v>10</v>
      </c>
    </row>
    <row r="108" spans="1:7">
      <c r="A108" t="s">
        <v>127</v>
      </c>
      <c r="B108" s="75">
        <v>45958</v>
      </c>
      <c r="C108" t="s">
        <v>11</v>
      </c>
      <c r="D108" t="s">
        <v>9</v>
      </c>
      <c r="E108">
        <v>6</v>
      </c>
      <c r="F108" s="2">
        <v>78.98</v>
      </c>
      <c r="G108" t="s">
        <v>10</v>
      </c>
    </row>
    <row r="109" spans="1:7">
      <c r="A109" t="s">
        <v>128</v>
      </c>
      <c r="B109" s="75">
        <v>45925</v>
      </c>
      <c r="C109" t="s">
        <v>8</v>
      </c>
      <c r="D109" t="s">
        <v>15</v>
      </c>
      <c r="E109">
        <v>2</v>
      </c>
      <c r="F109" s="2">
        <v>51.48</v>
      </c>
      <c r="G109" t="s">
        <v>13</v>
      </c>
    </row>
    <row r="110" spans="1:7">
      <c r="A110" t="s">
        <v>310</v>
      </c>
      <c r="B110" s="75">
        <v>45785</v>
      </c>
      <c r="C110" t="s">
        <v>11</v>
      </c>
      <c r="D110" t="s">
        <v>9</v>
      </c>
      <c r="E110">
        <v>3</v>
      </c>
      <c r="F110" s="2">
        <v>79.02</v>
      </c>
      <c r="G110" t="s">
        <v>13</v>
      </c>
    </row>
    <row r="111" spans="1:7">
      <c r="A111" t="s">
        <v>129</v>
      </c>
      <c r="B111" s="75">
        <v>45808</v>
      </c>
      <c r="C111" t="s">
        <v>11</v>
      </c>
      <c r="D111" t="s">
        <v>9</v>
      </c>
      <c r="E111">
        <v>1</v>
      </c>
      <c r="F111" s="2">
        <v>67.11</v>
      </c>
      <c r="G111" t="s">
        <v>10</v>
      </c>
    </row>
    <row r="112" spans="1:7">
      <c r="A112" t="s">
        <v>130</v>
      </c>
      <c r="B112" s="75">
        <v>46193</v>
      </c>
      <c r="C112" t="s">
        <v>11</v>
      </c>
      <c r="D112" t="s">
        <v>9</v>
      </c>
      <c r="E112">
        <v>7</v>
      </c>
      <c r="F112" s="2">
        <v>78.84</v>
      </c>
      <c r="G112" t="s">
        <v>10</v>
      </c>
    </row>
    <row r="113" spans="1:7">
      <c r="A113" t="s">
        <v>131</v>
      </c>
      <c r="B113" s="75">
        <v>45822</v>
      </c>
      <c r="C113" t="s">
        <v>8</v>
      </c>
      <c r="D113" t="s">
        <v>9</v>
      </c>
      <c r="E113">
        <v>5</v>
      </c>
      <c r="F113" s="2">
        <v>44.24</v>
      </c>
      <c r="G113" t="s">
        <v>10</v>
      </c>
    </row>
    <row r="114" spans="1:7">
      <c r="A114" t="s">
        <v>132</v>
      </c>
      <c r="B114" s="75">
        <v>46218</v>
      </c>
      <c r="C114" t="s">
        <v>44</v>
      </c>
      <c r="D114" t="s">
        <v>23</v>
      </c>
      <c r="E114">
        <v>4</v>
      </c>
      <c r="F114" s="2">
        <v>89.93</v>
      </c>
      <c r="G114" t="s">
        <v>10</v>
      </c>
    </row>
    <row r="115" spans="1:7">
      <c r="A115" t="s">
        <v>133</v>
      </c>
      <c r="B115" s="75">
        <v>46160</v>
      </c>
      <c r="C115" t="s">
        <v>8</v>
      </c>
      <c r="D115" t="s">
        <v>23</v>
      </c>
      <c r="E115">
        <v>4</v>
      </c>
      <c r="F115" s="2">
        <v>43.79</v>
      </c>
      <c r="G115" t="s">
        <v>10</v>
      </c>
    </row>
    <row r="116" spans="1:7">
      <c r="A116" t="s">
        <v>134</v>
      </c>
      <c r="B116" s="75">
        <v>46049</v>
      </c>
      <c r="C116" t="s">
        <v>8</v>
      </c>
      <c r="D116" t="s">
        <v>23</v>
      </c>
      <c r="E116">
        <v>4</v>
      </c>
      <c r="F116" s="2">
        <v>55.13</v>
      </c>
      <c r="G116" t="s">
        <v>29</v>
      </c>
    </row>
    <row r="117" spans="1:7">
      <c r="A117" t="s">
        <v>135</v>
      </c>
      <c r="B117" s="75">
        <v>46046</v>
      </c>
      <c r="C117" t="s">
        <v>11</v>
      </c>
      <c r="D117" t="s">
        <v>23</v>
      </c>
      <c r="E117">
        <v>1</v>
      </c>
      <c r="F117" s="2">
        <v>85.31</v>
      </c>
      <c r="G117" t="s">
        <v>10</v>
      </c>
    </row>
    <row r="118" spans="1:7">
      <c r="A118" t="s">
        <v>136</v>
      </c>
      <c r="B118" s="75">
        <v>45803</v>
      </c>
      <c r="C118" t="s">
        <v>18</v>
      </c>
      <c r="D118" t="s">
        <v>9</v>
      </c>
      <c r="E118">
        <v>5</v>
      </c>
      <c r="F118" s="2">
        <v>525</v>
      </c>
      <c r="G118" t="s">
        <v>13</v>
      </c>
    </row>
    <row r="119" spans="1:7">
      <c r="A119" t="s">
        <v>137</v>
      </c>
      <c r="B119" s="75">
        <v>45670</v>
      </c>
      <c r="C119" t="s">
        <v>11</v>
      </c>
      <c r="D119" t="s">
        <v>23</v>
      </c>
      <c r="E119">
        <v>9</v>
      </c>
      <c r="F119" s="2">
        <v>72.64</v>
      </c>
      <c r="G119" t="s">
        <v>19</v>
      </c>
    </row>
    <row r="120" spans="1:7">
      <c r="A120" t="s">
        <v>138</v>
      </c>
      <c r="B120" s="75">
        <v>45956</v>
      </c>
      <c r="C120" t="s">
        <v>8</v>
      </c>
      <c r="D120" t="s">
        <v>15</v>
      </c>
      <c r="E120">
        <v>4</v>
      </c>
      <c r="F120" s="2">
        <v>43.88</v>
      </c>
      <c r="G120" t="s">
        <v>10</v>
      </c>
    </row>
    <row r="121" spans="1:7">
      <c r="A121" t="s">
        <v>139</v>
      </c>
      <c r="B121" s="75">
        <v>45945</v>
      </c>
      <c r="C121" t="s">
        <v>18</v>
      </c>
      <c r="D121" t="s">
        <v>15</v>
      </c>
      <c r="E121">
        <v>3</v>
      </c>
      <c r="F121" s="2">
        <v>120.02</v>
      </c>
      <c r="G121" t="s">
        <v>29</v>
      </c>
    </row>
    <row r="122" spans="1:7">
      <c r="A122" t="s">
        <v>140</v>
      </c>
      <c r="B122" s="75">
        <v>46157</v>
      </c>
      <c r="C122" t="s">
        <v>8</v>
      </c>
      <c r="D122" t="s">
        <v>9</v>
      </c>
      <c r="E122">
        <v>9</v>
      </c>
      <c r="F122" s="2">
        <v>40.83</v>
      </c>
      <c r="G122" t="s">
        <v>10</v>
      </c>
    </row>
    <row r="123" spans="1:7">
      <c r="A123" t="s">
        <v>141</v>
      </c>
      <c r="B123" s="75">
        <v>45725</v>
      </c>
      <c r="C123" t="s">
        <v>8</v>
      </c>
      <c r="D123" t="s">
        <v>9</v>
      </c>
      <c r="E123">
        <v>10</v>
      </c>
      <c r="F123" s="2">
        <v>54.83</v>
      </c>
      <c r="G123" t="s">
        <v>19</v>
      </c>
    </row>
    <row r="124" spans="1:7">
      <c r="A124" t="s">
        <v>142</v>
      </c>
      <c r="B124" s="75">
        <v>45773</v>
      </c>
      <c r="C124" t="s">
        <v>8</v>
      </c>
      <c r="D124" t="s">
        <v>9</v>
      </c>
      <c r="E124">
        <v>10</v>
      </c>
      <c r="F124" s="2">
        <v>76.61</v>
      </c>
      <c r="G124" t="s">
        <v>10</v>
      </c>
    </row>
    <row r="125" spans="1:7">
      <c r="A125" t="s">
        <v>143</v>
      </c>
      <c r="B125" s="75">
        <v>45986</v>
      </c>
      <c r="C125" t="s">
        <v>8</v>
      </c>
      <c r="D125" t="s">
        <v>9</v>
      </c>
      <c r="E125">
        <v>8</v>
      </c>
      <c r="F125" s="2">
        <v>40.78</v>
      </c>
      <c r="G125" t="s">
        <v>29</v>
      </c>
    </row>
    <row r="126" spans="1:7">
      <c r="A126" t="s">
        <v>144</v>
      </c>
      <c r="B126" s="75">
        <v>46110</v>
      </c>
      <c r="C126" t="s">
        <v>8</v>
      </c>
      <c r="D126" t="s">
        <v>23</v>
      </c>
      <c r="E126">
        <v>10</v>
      </c>
      <c r="F126" s="2">
        <v>70.209999999999994</v>
      </c>
      <c r="G126" t="s">
        <v>29</v>
      </c>
    </row>
    <row r="127" spans="1:7">
      <c r="A127" t="s">
        <v>145</v>
      </c>
      <c r="B127" s="75">
        <v>46134</v>
      </c>
      <c r="C127" t="s">
        <v>18</v>
      </c>
      <c r="D127" t="s">
        <v>9</v>
      </c>
      <c r="E127">
        <v>4</v>
      </c>
      <c r="F127" s="2">
        <v>137.35</v>
      </c>
      <c r="G127" t="s">
        <v>13</v>
      </c>
    </row>
    <row r="128" spans="1:7">
      <c r="A128" t="s">
        <v>146</v>
      </c>
      <c r="B128" s="75">
        <v>46018</v>
      </c>
      <c r="C128" t="s">
        <v>11</v>
      </c>
      <c r="D128" t="s">
        <v>23</v>
      </c>
      <c r="E128">
        <v>7</v>
      </c>
      <c r="F128" s="2">
        <v>83.56</v>
      </c>
      <c r="G128" t="s">
        <v>29</v>
      </c>
    </row>
    <row r="129" spans="1:7">
      <c r="A129" t="s">
        <v>311</v>
      </c>
      <c r="B129" s="75">
        <v>45923</v>
      </c>
      <c r="C129" t="s">
        <v>8</v>
      </c>
      <c r="D129" t="s">
        <v>9</v>
      </c>
      <c r="E129">
        <v>2</v>
      </c>
      <c r="F129" s="2">
        <v>42.04</v>
      </c>
      <c r="G129" t="s">
        <v>10</v>
      </c>
    </row>
    <row r="130" spans="1:7">
      <c r="A130" t="s">
        <v>147</v>
      </c>
      <c r="B130" s="75">
        <v>45893</v>
      </c>
      <c r="C130" t="s">
        <v>8</v>
      </c>
      <c r="D130" t="s">
        <v>9</v>
      </c>
      <c r="E130">
        <v>10</v>
      </c>
      <c r="F130" s="2">
        <v>54.4</v>
      </c>
      <c r="G130" t="s">
        <v>13</v>
      </c>
    </row>
    <row r="131" spans="1:7">
      <c r="A131" t="s">
        <v>148</v>
      </c>
      <c r="B131" s="75">
        <v>46205</v>
      </c>
      <c r="C131" t="s">
        <v>8</v>
      </c>
      <c r="D131" t="s">
        <v>15</v>
      </c>
      <c r="E131">
        <v>10</v>
      </c>
      <c r="F131" s="2">
        <v>45.65</v>
      </c>
      <c r="G131" t="s">
        <v>13</v>
      </c>
    </row>
    <row r="132" spans="1:7">
      <c r="A132" t="s">
        <v>149</v>
      </c>
      <c r="B132" s="75">
        <v>45969</v>
      </c>
      <c r="C132" t="s">
        <v>8</v>
      </c>
      <c r="D132" t="s">
        <v>23</v>
      </c>
      <c r="E132">
        <v>1</v>
      </c>
      <c r="F132" s="2">
        <v>54.54</v>
      </c>
      <c r="G132" t="s">
        <v>19</v>
      </c>
    </row>
    <row r="133" spans="1:7">
      <c r="A133" t="s">
        <v>150</v>
      </c>
      <c r="B133" s="75">
        <v>46068</v>
      </c>
      <c r="C133" t="s">
        <v>18</v>
      </c>
      <c r="D133" t="s">
        <v>15</v>
      </c>
      <c r="E133">
        <v>2</v>
      </c>
      <c r="F133" s="2">
        <v>141.68</v>
      </c>
      <c r="G133" t="s">
        <v>10</v>
      </c>
    </row>
    <row r="134" spans="1:7">
      <c r="A134" t="s">
        <v>151</v>
      </c>
      <c r="B134" s="75">
        <v>46009</v>
      </c>
      <c r="C134" t="s">
        <v>8</v>
      </c>
      <c r="D134" t="s">
        <v>15</v>
      </c>
      <c r="E134">
        <v>10</v>
      </c>
      <c r="F134" s="2">
        <v>55.9</v>
      </c>
      <c r="G134" t="s">
        <v>10</v>
      </c>
    </row>
    <row r="135" spans="1:7">
      <c r="A135" t="s">
        <v>152</v>
      </c>
      <c r="B135" s="75">
        <v>45746</v>
      </c>
      <c r="C135" t="s">
        <v>44</v>
      </c>
      <c r="D135" t="s">
        <v>23</v>
      </c>
      <c r="E135">
        <v>10</v>
      </c>
      <c r="F135" s="2">
        <v>90.94</v>
      </c>
      <c r="G135" t="s">
        <v>19</v>
      </c>
    </row>
    <row r="136" spans="1:7">
      <c r="A136" t="s">
        <v>153</v>
      </c>
      <c r="B136" s="75">
        <v>45735</v>
      </c>
      <c r="C136" t="s">
        <v>8</v>
      </c>
      <c r="D136" t="s">
        <v>9</v>
      </c>
      <c r="E136">
        <v>6</v>
      </c>
      <c r="F136" s="2">
        <v>52.39</v>
      </c>
      <c r="G136" t="s">
        <v>13</v>
      </c>
    </row>
    <row r="137" spans="1:7">
      <c r="A137" t="s">
        <v>154</v>
      </c>
      <c r="B137" s="75">
        <v>45914</v>
      </c>
      <c r="C137" t="s">
        <v>44</v>
      </c>
      <c r="D137" t="s">
        <v>15</v>
      </c>
      <c r="E137">
        <v>10</v>
      </c>
      <c r="F137" s="2">
        <v>114.14</v>
      </c>
      <c r="G137" t="s">
        <v>13</v>
      </c>
    </row>
    <row r="138" spans="1:7">
      <c r="A138" t="s">
        <v>155</v>
      </c>
      <c r="B138" s="75">
        <v>46110</v>
      </c>
      <c r="C138" t="s">
        <v>8</v>
      </c>
      <c r="D138" t="s">
        <v>9</v>
      </c>
      <c r="E138">
        <v>5</v>
      </c>
      <c r="F138" s="2">
        <v>76.61</v>
      </c>
      <c r="G138" t="s">
        <v>19</v>
      </c>
    </row>
    <row r="139" spans="1:7">
      <c r="A139" t="s">
        <v>156</v>
      </c>
      <c r="B139" s="75">
        <v>45952</v>
      </c>
      <c r="C139" t="s">
        <v>113</v>
      </c>
      <c r="D139" t="s">
        <v>23</v>
      </c>
      <c r="E139">
        <v>7</v>
      </c>
      <c r="F139" s="2">
        <v>43.27</v>
      </c>
      <c r="G139" t="s">
        <v>10</v>
      </c>
    </row>
    <row r="140" spans="1:7">
      <c r="A140" t="s">
        <v>157</v>
      </c>
      <c r="B140" s="75">
        <v>45703</v>
      </c>
      <c r="C140" t="s">
        <v>11</v>
      </c>
      <c r="D140" t="s">
        <v>15</v>
      </c>
      <c r="E140">
        <v>10</v>
      </c>
      <c r="F140" s="2">
        <v>82.64</v>
      </c>
      <c r="G140" t="s">
        <v>13</v>
      </c>
    </row>
    <row r="141" spans="1:7">
      <c r="A141" t="s">
        <v>158</v>
      </c>
      <c r="B141" s="75">
        <v>45800</v>
      </c>
      <c r="C141" t="s">
        <v>8</v>
      </c>
      <c r="D141" t="s">
        <v>23</v>
      </c>
      <c r="E141">
        <v>2</v>
      </c>
      <c r="F141" s="2">
        <v>44.3</v>
      </c>
      <c r="G141" t="s">
        <v>10</v>
      </c>
    </row>
    <row r="142" spans="1:7">
      <c r="A142" t="s">
        <v>159</v>
      </c>
      <c r="B142" s="75">
        <v>46167</v>
      </c>
      <c r="C142" t="s">
        <v>8</v>
      </c>
      <c r="D142" t="s">
        <v>9</v>
      </c>
      <c r="E142">
        <v>5</v>
      </c>
      <c r="F142" s="2">
        <v>54.21</v>
      </c>
      <c r="G142" t="s">
        <v>10</v>
      </c>
    </row>
    <row r="143" spans="1:7">
      <c r="A143" t="s">
        <v>160</v>
      </c>
      <c r="B143" s="75">
        <v>45667</v>
      </c>
      <c r="C143" t="s">
        <v>44</v>
      </c>
      <c r="D143" t="s">
        <v>23</v>
      </c>
      <c r="E143">
        <v>6</v>
      </c>
      <c r="F143" s="2">
        <v>515</v>
      </c>
      <c r="G143" t="s">
        <v>10</v>
      </c>
    </row>
    <row r="144" spans="1:7">
      <c r="A144" t="s">
        <v>161</v>
      </c>
      <c r="B144" s="75" t="s">
        <v>389</v>
      </c>
      <c r="C144" t="s">
        <v>8</v>
      </c>
      <c r="D144" t="s">
        <v>23</v>
      </c>
      <c r="E144">
        <v>8</v>
      </c>
      <c r="F144" s="2">
        <v>42.39</v>
      </c>
      <c r="G144" t="s">
        <v>10</v>
      </c>
    </row>
    <row r="145" spans="1:7">
      <c r="A145" t="s">
        <v>162</v>
      </c>
      <c r="B145" s="75">
        <v>45781</v>
      </c>
      <c r="C145" t="s">
        <v>44</v>
      </c>
      <c r="D145" t="s">
        <v>15</v>
      </c>
      <c r="E145">
        <v>4</v>
      </c>
      <c r="F145" s="2">
        <v>111.06</v>
      </c>
      <c r="G145" t="s">
        <v>19</v>
      </c>
    </row>
    <row r="146" spans="1:7">
      <c r="A146" t="s">
        <v>163</v>
      </c>
      <c r="B146" s="75">
        <v>46160</v>
      </c>
      <c r="C146" t="s">
        <v>8</v>
      </c>
      <c r="D146" t="s">
        <v>23</v>
      </c>
      <c r="E146">
        <v>4</v>
      </c>
      <c r="F146" s="2">
        <v>52.33</v>
      </c>
      <c r="G146" t="s">
        <v>29</v>
      </c>
    </row>
    <row r="147" spans="1:7">
      <c r="A147" t="s">
        <v>164</v>
      </c>
      <c r="B147" s="75">
        <v>45780</v>
      </c>
      <c r="C147" t="s">
        <v>8</v>
      </c>
      <c r="D147" t="s">
        <v>23</v>
      </c>
      <c r="E147">
        <v>7</v>
      </c>
      <c r="F147" s="2">
        <v>55.55</v>
      </c>
      <c r="G147" t="s">
        <v>13</v>
      </c>
    </row>
    <row r="148" spans="1:7">
      <c r="A148" t="s">
        <v>165</v>
      </c>
      <c r="B148" s="75">
        <v>46014</v>
      </c>
      <c r="C148" t="s">
        <v>11</v>
      </c>
      <c r="D148" t="s">
        <v>9</v>
      </c>
      <c r="E148">
        <v>8</v>
      </c>
      <c r="F148" s="2">
        <v>64.319999999999993</v>
      </c>
      <c r="G148" t="s">
        <v>10</v>
      </c>
    </row>
    <row r="149" spans="1:7">
      <c r="A149" t="s">
        <v>166</v>
      </c>
      <c r="B149" s="75" t="s">
        <v>389</v>
      </c>
      <c r="C149" t="s">
        <v>44</v>
      </c>
      <c r="D149" t="s">
        <v>9</v>
      </c>
      <c r="E149">
        <v>1</v>
      </c>
      <c r="F149" s="2">
        <v>103.2</v>
      </c>
      <c r="G149" t="s">
        <v>13</v>
      </c>
    </row>
    <row r="150" spans="1:7">
      <c r="A150" t="s">
        <v>167</v>
      </c>
      <c r="B150" s="75">
        <v>46057</v>
      </c>
      <c r="C150" t="s">
        <v>44</v>
      </c>
      <c r="D150" t="s">
        <v>9</v>
      </c>
      <c r="E150">
        <v>3</v>
      </c>
      <c r="F150" s="2">
        <v>108.73</v>
      </c>
      <c r="G150" t="s">
        <v>19</v>
      </c>
    </row>
    <row r="151" spans="1:7">
      <c r="A151" t="s">
        <v>312</v>
      </c>
      <c r="B151" s="75">
        <v>45888</v>
      </c>
      <c r="C151" t="s">
        <v>18</v>
      </c>
      <c r="D151" t="s">
        <v>9</v>
      </c>
      <c r="E151">
        <v>5</v>
      </c>
      <c r="F151" s="2">
        <v>137.11000000000001</v>
      </c>
      <c r="G151" t="s">
        <v>29</v>
      </c>
    </row>
    <row r="152" spans="1:7">
      <c r="A152" t="s">
        <v>168</v>
      </c>
      <c r="B152" s="75">
        <v>45911</v>
      </c>
      <c r="C152" t="s">
        <v>11</v>
      </c>
      <c r="D152" t="s">
        <v>9</v>
      </c>
      <c r="E152">
        <v>7</v>
      </c>
      <c r="F152" s="2">
        <v>85.32</v>
      </c>
      <c r="G152" t="s">
        <v>10</v>
      </c>
    </row>
    <row r="153" spans="1:7">
      <c r="A153" t="s">
        <v>169</v>
      </c>
      <c r="B153" s="75">
        <v>46150</v>
      </c>
      <c r="C153" t="s">
        <v>8</v>
      </c>
      <c r="D153" t="s">
        <v>9</v>
      </c>
      <c r="E153">
        <v>7</v>
      </c>
      <c r="F153" s="2">
        <v>44.26</v>
      </c>
      <c r="G153" t="s">
        <v>10</v>
      </c>
    </row>
    <row r="154" spans="1:7">
      <c r="A154" t="s">
        <v>170</v>
      </c>
      <c r="B154" s="75">
        <v>45893</v>
      </c>
      <c r="C154" t="s">
        <v>11</v>
      </c>
      <c r="D154" t="s">
        <v>23</v>
      </c>
      <c r="E154">
        <v>1</v>
      </c>
      <c r="F154" s="2">
        <v>84.69</v>
      </c>
      <c r="G154" t="s">
        <v>10</v>
      </c>
    </row>
    <row r="155" spans="1:7">
      <c r="A155" t="s">
        <v>171</v>
      </c>
      <c r="B155" s="75">
        <v>46132</v>
      </c>
      <c r="C155" t="s">
        <v>44</v>
      </c>
      <c r="D155" t="s">
        <v>9</v>
      </c>
      <c r="E155">
        <v>5</v>
      </c>
      <c r="F155" s="2">
        <v>110.74</v>
      </c>
      <c r="G155" t="s">
        <v>10</v>
      </c>
    </row>
    <row r="156" spans="1:7">
      <c r="A156" t="s">
        <v>172</v>
      </c>
      <c r="B156" s="75">
        <v>45931</v>
      </c>
      <c r="C156" t="s">
        <v>8</v>
      </c>
      <c r="D156" t="s">
        <v>23</v>
      </c>
      <c r="E156">
        <v>4</v>
      </c>
      <c r="F156" s="2">
        <v>43.46</v>
      </c>
      <c r="G156" t="s">
        <v>10</v>
      </c>
    </row>
    <row r="157" spans="1:7">
      <c r="A157" t="s">
        <v>173</v>
      </c>
      <c r="B157" s="75">
        <v>45896</v>
      </c>
      <c r="C157" t="s">
        <v>44</v>
      </c>
      <c r="D157" t="s">
        <v>9</v>
      </c>
      <c r="E157">
        <v>6</v>
      </c>
      <c r="F157" s="2">
        <v>102.65</v>
      </c>
      <c r="G157" t="s">
        <v>10</v>
      </c>
    </row>
    <row r="158" spans="1:7">
      <c r="A158" t="s">
        <v>174</v>
      </c>
      <c r="B158" s="75">
        <v>46027</v>
      </c>
      <c r="C158" t="s">
        <v>8</v>
      </c>
      <c r="D158" t="s">
        <v>9</v>
      </c>
      <c r="E158">
        <v>3</v>
      </c>
      <c r="F158" s="2">
        <v>48.88</v>
      </c>
      <c r="G158" t="s">
        <v>19</v>
      </c>
    </row>
    <row r="159" spans="1:7">
      <c r="A159" t="s">
        <v>175</v>
      </c>
      <c r="B159" s="75">
        <v>45913</v>
      </c>
      <c r="C159" t="s">
        <v>44</v>
      </c>
      <c r="D159" t="s">
        <v>23</v>
      </c>
      <c r="E159">
        <v>1</v>
      </c>
      <c r="F159" s="2">
        <v>105.56</v>
      </c>
      <c r="G159" t="s">
        <v>10</v>
      </c>
    </row>
    <row r="160" spans="1:7">
      <c r="A160" t="s">
        <v>176</v>
      </c>
      <c r="B160" s="75">
        <v>45671</v>
      </c>
      <c r="C160" t="s">
        <v>8</v>
      </c>
      <c r="D160" t="s">
        <v>23</v>
      </c>
      <c r="E160">
        <v>2</v>
      </c>
      <c r="F160" s="2">
        <v>51.91</v>
      </c>
      <c r="G160" t="s">
        <v>13</v>
      </c>
    </row>
    <row r="161" spans="1:7">
      <c r="A161" t="s">
        <v>177</v>
      </c>
      <c r="B161" s="75">
        <v>45841</v>
      </c>
      <c r="C161" t="s">
        <v>8</v>
      </c>
      <c r="D161" t="s">
        <v>23</v>
      </c>
      <c r="E161">
        <v>3</v>
      </c>
      <c r="F161" s="2">
        <v>43.94</v>
      </c>
      <c r="G161" t="s">
        <v>10</v>
      </c>
    </row>
    <row r="162" spans="1:7">
      <c r="A162" t="s">
        <v>178</v>
      </c>
      <c r="B162" s="75">
        <v>46231</v>
      </c>
      <c r="C162" t="s">
        <v>113</v>
      </c>
      <c r="D162" t="s">
        <v>9</v>
      </c>
      <c r="E162">
        <v>1</v>
      </c>
      <c r="F162" s="2">
        <v>43.28</v>
      </c>
      <c r="G162" t="s">
        <v>10</v>
      </c>
    </row>
    <row r="163" spans="1:7">
      <c r="A163" t="s">
        <v>179</v>
      </c>
      <c r="B163" s="75">
        <v>45785</v>
      </c>
      <c r="C163" t="s">
        <v>11</v>
      </c>
      <c r="D163" t="s">
        <v>9</v>
      </c>
      <c r="E163">
        <v>10</v>
      </c>
      <c r="F163" s="2">
        <v>77.209999999999994</v>
      </c>
      <c r="G163" t="s">
        <v>19</v>
      </c>
    </row>
    <row r="164" spans="1:7">
      <c r="A164" t="s">
        <v>180</v>
      </c>
      <c r="B164" s="75">
        <v>45951</v>
      </c>
      <c r="C164" t="s">
        <v>11</v>
      </c>
      <c r="D164" t="s">
        <v>9</v>
      </c>
      <c r="E164">
        <v>10</v>
      </c>
      <c r="F164" s="2">
        <v>86.13</v>
      </c>
      <c r="G164" t="s">
        <v>29</v>
      </c>
    </row>
    <row r="165" spans="1:7">
      <c r="A165" t="s">
        <v>181</v>
      </c>
      <c r="B165" s="75" t="s">
        <v>389</v>
      </c>
      <c r="C165" t="s">
        <v>8</v>
      </c>
      <c r="D165" t="s">
        <v>23</v>
      </c>
      <c r="E165">
        <v>6</v>
      </c>
      <c r="F165" s="2">
        <v>43.86</v>
      </c>
      <c r="G165" t="s">
        <v>29</v>
      </c>
    </row>
    <row r="166" spans="1:7">
      <c r="A166" t="s">
        <v>182</v>
      </c>
      <c r="B166" s="75">
        <v>45889</v>
      </c>
      <c r="C166" t="s">
        <v>8</v>
      </c>
      <c r="D166" t="s">
        <v>23</v>
      </c>
      <c r="E166">
        <v>4</v>
      </c>
      <c r="F166" s="2">
        <v>76.61</v>
      </c>
      <c r="G166" t="s">
        <v>29</v>
      </c>
    </row>
    <row r="167" spans="1:7">
      <c r="A167" t="s">
        <v>183</v>
      </c>
      <c r="B167" s="75">
        <v>46034</v>
      </c>
      <c r="C167" t="s">
        <v>11</v>
      </c>
      <c r="D167" t="s">
        <v>23</v>
      </c>
      <c r="E167">
        <v>6</v>
      </c>
      <c r="F167" s="2">
        <v>72.790000000000006</v>
      </c>
      <c r="G167" t="s">
        <v>10</v>
      </c>
    </row>
    <row r="168" spans="1:7">
      <c r="A168" t="s">
        <v>184</v>
      </c>
      <c r="B168" s="75">
        <v>45868</v>
      </c>
      <c r="C168" t="s">
        <v>8</v>
      </c>
      <c r="D168" t="s">
        <v>9</v>
      </c>
      <c r="E168">
        <v>4</v>
      </c>
      <c r="F168" s="2">
        <v>49.74</v>
      </c>
      <c r="G168" t="s">
        <v>13</v>
      </c>
    </row>
    <row r="169" spans="1:7">
      <c r="A169" t="s">
        <v>185</v>
      </c>
      <c r="B169" s="75">
        <v>45763</v>
      </c>
      <c r="C169" t="s">
        <v>8</v>
      </c>
      <c r="D169" t="s">
        <v>9</v>
      </c>
      <c r="E169">
        <v>5</v>
      </c>
      <c r="F169" s="2">
        <v>50.34</v>
      </c>
      <c r="G169" t="s">
        <v>10</v>
      </c>
    </row>
    <row r="170" spans="1:7">
      <c r="A170" t="s">
        <v>186</v>
      </c>
      <c r="B170" s="75">
        <v>46174</v>
      </c>
      <c r="C170" t="s">
        <v>44</v>
      </c>
      <c r="D170" t="s">
        <v>15</v>
      </c>
      <c r="E170">
        <v>2</v>
      </c>
      <c r="F170" s="2">
        <v>113.64</v>
      </c>
      <c r="G170" t="s">
        <v>19</v>
      </c>
    </row>
    <row r="171" spans="1:7">
      <c r="A171" t="s">
        <v>187</v>
      </c>
      <c r="B171" s="75">
        <v>46057</v>
      </c>
      <c r="C171" t="s">
        <v>18</v>
      </c>
      <c r="D171" t="s">
        <v>9</v>
      </c>
      <c r="E171">
        <v>7</v>
      </c>
      <c r="F171" s="2">
        <v>138.74</v>
      </c>
      <c r="G171" t="s">
        <v>10</v>
      </c>
    </row>
    <row r="172" spans="1:7">
      <c r="A172" t="s">
        <v>313</v>
      </c>
      <c r="B172" s="75">
        <v>45769</v>
      </c>
      <c r="C172" t="s">
        <v>44</v>
      </c>
      <c r="D172" t="s">
        <v>9</v>
      </c>
      <c r="E172">
        <v>1</v>
      </c>
      <c r="F172" s="2">
        <v>96.26</v>
      </c>
      <c r="G172" t="s">
        <v>13</v>
      </c>
    </row>
    <row r="173" spans="1:7">
      <c r="A173" t="s">
        <v>188</v>
      </c>
      <c r="B173" s="75">
        <v>45990</v>
      </c>
      <c r="C173" t="s">
        <v>44</v>
      </c>
      <c r="D173" t="s">
        <v>15</v>
      </c>
      <c r="E173">
        <v>9</v>
      </c>
      <c r="F173" s="2">
        <v>109.76</v>
      </c>
      <c r="G173" t="s">
        <v>19</v>
      </c>
    </row>
    <row r="174" spans="1:7">
      <c r="A174" t="s">
        <v>189</v>
      </c>
      <c r="B174" s="75">
        <v>45912</v>
      </c>
      <c r="C174" t="s">
        <v>190</v>
      </c>
      <c r="D174" t="s">
        <v>9</v>
      </c>
      <c r="E174">
        <v>4</v>
      </c>
      <c r="F174" s="2">
        <v>74</v>
      </c>
      <c r="G174" t="s">
        <v>19</v>
      </c>
    </row>
    <row r="175" spans="1:7">
      <c r="A175" t="s">
        <v>383</v>
      </c>
      <c r="B175" s="75">
        <v>45947</v>
      </c>
      <c r="C175" t="s">
        <v>44</v>
      </c>
      <c r="D175" t="s">
        <v>9</v>
      </c>
      <c r="E175">
        <v>8</v>
      </c>
      <c r="F175" s="2">
        <v>99.22</v>
      </c>
      <c r="G175" t="s">
        <v>10</v>
      </c>
    </row>
    <row r="176" spans="1:7">
      <c r="A176" t="s">
        <v>192</v>
      </c>
      <c r="B176" s="75">
        <v>46056</v>
      </c>
      <c r="C176" t="s">
        <v>11</v>
      </c>
      <c r="D176" t="s">
        <v>23</v>
      </c>
      <c r="E176">
        <v>7</v>
      </c>
      <c r="F176" s="2">
        <v>75.13</v>
      </c>
      <c r="G176" t="s">
        <v>13</v>
      </c>
    </row>
    <row r="177" spans="1:7">
      <c r="A177" t="s">
        <v>193</v>
      </c>
      <c r="B177" s="75">
        <v>45750</v>
      </c>
      <c r="C177" t="s">
        <v>11</v>
      </c>
      <c r="D177" t="s">
        <v>23</v>
      </c>
      <c r="E177">
        <v>4</v>
      </c>
      <c r="F177" s="2">
        <v>76.61</v>
      </c>
      <c r="G177" t="s">
        <v>10</v>
      </c>
    </row>
    <row r="178" spans="1:7">
      <c r="A178" t="s">
        <v>194</v>
      </c>
      <c r="B178" s="75">
        <v>46086</v>
      </c>
      <c r="C178" t="s">
        <v>8</v>
      </c>
      <c r="D178" t="s">
        <v>23</v>
      </c>
      <c r="E178">
        <v>4</v>
      </c>
      <c r="F178" s="2">
        <v>53.73</v>
      </c>
      <c r="G178" t="s">
        <v>10</v>
      </c>
    </row>
    <row r="179" spans="1:7">
      <c r="A179" t="s">
        <v>195</v>
      </c>
      <c r="B179" s="75">
        <v>45711</v>
      </c>
      <c r="C179" t="s">
        <v>8</v>
      </c>
      <c r="D179" t="s">
        <v>9</v>
      </c>
      <c r="E179">
        <v>4</v>
      </c>
      <c r="F179" s="2">
        <v>56.04</v>
      </c>
      <c r="G179" t="s">
        <v>13</v>
      </c>
    </row>
    <row r="180" spans="1:7">
      <c r="A180" t="s">
        <v>196</v>
      </c>
      <c r="B180" s="75">
        <v>45756</v>
      </c>
      <c r="C180" t="s">
        <v>11</v>
      </c>
      <c r="D180" t="s">
        <v>9</v>
      </c>
      <c r="E180">
        <v>9</v>
      </c>
      <c r="F180" s="2">
        <v>74.17</v>
      </c>
      <c r="G180" t="s">
        <v>19</v>
      </c>
    </row>
    <row r="181" spans="1:7">
      <c r="A181" t="s">
        <v>197</v>
      </c>
      <c r="B181" s="75">
        <v>46089</v>
      </c>
      <c r="C181" t="s">
        <v>18</v>
      </c>
      <c r="D181" t="s">
        <v>9</v>
      </c>
      <c r="E181">
        <v>9</v>
      </c>
      <c r="F181" s="2">
        <v>109.12</v>
      </c>
      <c r="G181" t="s">
        <v>13</v>
      </c>
    </row>
    <row r="182" spans="1:7">
      <c r="A182" t="s">
        <v>198</v>
      </c>
      <c r="B182" s="75">
        <v>46225</v>
      </c>
      <c r="C182" t="s">
        <v>8</v>
      </c>
      <c r="D182" t="s">
        <v>9</v>
      </c>
      <c r="E182">
        <v>7</v>
      </c>
      <c r="F182" s="2">
        <v>47.51</v>
      </c>
      <c r="G182" t="s">
        <v>10</v>
      </c>
    </row>
    <row r="183" spans="1:7">
      <c r="A183" t="s">
        <v>199</v>
      </c>
      <c r="B183" s="75">
        <v>45793</v>
      </c>
      <c r="C183" t="s">
        <v>11</v>
      </c>
      <c r="D183" t="s">
        <v>23</v>
      </c>
      <c r="E183">
        <v>10</v>
      </c>
      <c r="F183" s="2">
        <v>77.12</v>
      </c>
      <c r="G183" t="s">
        <v>19</v>
      </c>
    </row>
    <row r="184" spans="1:7">
      <c r="A184" t="s">
        <v>200</v>
      </c>
      <c r="B184" s="75">
        <v>45958</v>
      </c>
      <c r="C184" t="s">
        <v>8</v>
      </c>
      <c r="D184" t="s">
        <v>9</v>
      </c>
      <c r="E184">
        <v>10</v>
      </c>
      <c r="F184" s="2">
        <v>40.98</v>
      </c>
      <c r="G184" t="s">
        <v>10</v>
      </c>
    </row>
    <row r="185" spans="1:7">
      <c r="A185" t="s">
        <v>201</v>
      </c>
      <c r="B185" s="75">
        <v>45703</v>
      </c>
      <c r="C185" t="s">
        <v>11</v>
      </c>
      <c r="D185" t="s">
        <v>9</v>
      </c>
      <c r="E185">
        <v>10</v>
      </c>
      <c r="F185" s="2">
        <v>77.97</v>
      </c>
      <c r="G185" t="s">
        <v>10</v>
      </c>
    </row>
    <row r="186" spans="1:7">
      <c r="A186" t="s">
        <v>202</v>
      </c>
      <c r="B186" s="75" t="s">
        <v>389</v>
      </c>
      <c r="C186" t="s">
        <v>11</v>
      </c>
      <c r="D186" t="s">
        <v>15</v>
      </c>
      <c r="E186">
        <v>9</v>
      </c>
      <c r="F186" s="2">
        <v>84.91</v>
      </c>
      <c r="G186" t="s">
        <v>10</v>
      </c>
    </row>
    <row r="187" spans="1:7">
      <c r="A187" t="s">
        <v>203</v>
      </c>
      <c r="B187" s="75">
        <v>46015</v>
      </c>
      <c r="C187" t="s">
        <v>8</v>
      </c>
      <c r="D187" t="s">
        <v>23</v>
      </c>
      <c r="E187">
        <v>8</v>
      </c>
      <c r="F187" s="2">
        <v>43.61</v>
      </c>
      <c r="G187" t="s">
        <v>19</v>
      </c>
    </row>
    <row r="188" spans="1:7">
      <c r="A188" t="s">
        <v>204</v>
      </c>
      <c r="B188" s="75" t="s">
        <v>389</v>
      </c>
      <c r="C188" t="s">
        <v>11</v>
      </c>
      <c r="D188" t="s">
        <v>23</v>
      </c>
      <c r="E188">
        <v>1</v>
      </c>
      <c r="F188" s="2">
        <v>77.53</v>
      </c>
      <c r="G188" t="s">
        <v>19</v>
      </c>
    </row>
    <row r="189" spans="1:7">
      <c r="A189" t="s">
        <v>205</v>
      </c>
      <c r="B189" s="75">
        <v>45971</v>
      </c>
      <c r="C189" t="s">
        <v>8</v>
      </c>
      <c r="D189" t="s">
        <v>23</v>
      </c>
      <c r="E189">
        <v>5</v>
      </c>
      <c r="F189" s="2">
        <v>51.59</v>
      </c>
      <c r="G189" t="s">
        <v>10</v>
      </c>
    </row>
    <row r="190" spans="1:7">
      <c r="A190" t="s">
        <v>206</v>
      </c>
      <c r="B190" s="75">
        <v>45881</v>
      </c>
      <c r="C190" t="s">
        <v>8</v>
      </c>
      <c r="D190" t="s">
        <v>9</v>
      </c>
      <c r="E190">
        <v>5</v>
      </c>
      <c r="F190" s="2">
        <v>53.02</v>
      </c>
      <c r="G190" t="s">
        <v>10</v>
      </c>
    </row>
    <row r="191" spans="1:7">
      <c r="A191" t="s">
        <v>207</v>
      </c>
      <c r="B191" s="75">
        <v>46124</v>
      </c>
      <c r="C191" t="s">
        <v>8</v>
      </c>
      <c r="D191" t="s">
        <v>9</v>
      </c>
      <c r="E191">
        <v>4</v>
      </c>
      <c r="F191" s="2">
        <v>42.88</v>
      </c>
      <c r="G191" t="s">
        <v>19</v>
      </c>
    </row>
    <row r="192" spans="1:7">
      <c r="A192" t="s">
        <v>208</v>
      </c>
      <c r="B192" s="75">
        <v>45685</v>
      </c>
      <c r="C192" t="s">
        <v>8</v>
      </c>
      <c r="D192" t="s">
        <v>9</v>
      </c>
      <c r="E192">
        <v>9</v>
      </c>
      <c r="F192" s="2">
        <v>76.61</v>
      </c>
      <c r="G192" t="s">
        <v>10</v>
      </c>
    </row>
    <row r="193" spans="1:7">
      <c r="A193" t="s">
        <v>209</v>
      </c>
      <c r="B193" s="75">
        <v>45815</v>
      </c>
      <c r="C193" t="s">
        <v>8</v>
      </c>
      <c r="D193" t="s">
        <v>9</v>
      </c>
      <c r="E193">
        <v>6</v>
      </c>
      <c r="F193" s="2">
        <v>53.02</v>
      </c>
      <c r="G193" t="s">
        <v>29</v>
      </c>
    </row>
    <row r="194" spans="1:7">
      <c r="A194" t="s">
        <v>210</v>
      </c>
      <c r="B194" s="75">
        <v>45916</v>
      </c>
      <c r="C194" t="s">
        <v>18</v>
      </c>
      <c r="D194" t="s">
        <v>15</v>
      </c>
      <c r="E194">
        <v>10</v>
      </c>
      <c r="F194" s="2">
        <v>122.18</v>
      </c>
      <c r="G194" t="s">
        <v>10</v>
      </c>
    </row>
    <row r="195" spans="1:7">
      <c r="A195" t="s">
        <v>211</v>
      </c>
      <c r="B195" s="75" t="s">
        <v>389</v>
      </c>
      <c r="C195" t="s">
        <v>8</v>
      </c>
      <c r="D195" t="s">
        <v>9</v>
      </c>
      <c r="E195">
        <v>8</v>
      </c>
      <c r="F195" s="2">
        <v>46.48</v>
      </c>
      <c r="G195" t="s">
        <v>10</v>
      </c>
    </row>
    <row r="196" spans="1:7">
      <c r="A196" t="s">
        <v>212</v>
      </c>
      <c r="B196" s="75" t="s">
        <v>389</v>
      </c>
      <c r="C196" t="s">
        <v>11</v>
      </c>
      <c r="D196" t="s">
        <v>23</v>
      </c>
      <c r="E196">
        <v>10</v>
      </c>
      <c r="F196" s="2">
        <v>66.459999999999994</v>
      </c>
      <c r="G196" t="s">
        <v>10</v>
      </c>
    </row>
    <row r="197" spans="1:7">
      <c r="A197" t="s">
        <v>213</v>
      </c>
      <c r="B197" s="75">
        <v>46043</v>
      </c>
      <c r="C197" t="s">
        <v>8</v>
      </c>
      <c r="D197" t="s">
        <v>23</v>
      </c>
      <c r="E197">
        <v>10</v>
      </c>
      <c r="F197" s="2">
        <v>54.98</v>
      </c>
      <c r="G197" t="s">
        <v>10</v>
      </c>
    </row>
    <row r="198" spans="1:7">
      <c r="A198" t="s">
        <v>214</v>
      </c>
      <c r="B198" s="75">
        <v>45980</v>
      </c>
      <c r="C198" t="s">
        <v>11</v>
      </c>
      <c r="D198" t="s">
        <v>9</v>
      </c>
      <c r="E198">
        <v>8</v>
      </c>
      <c r="F198" s="2">
        <v>63.07</v>
      </c>
      <c r="G198" t="s">
        <v>13</v>
      </c>
    </row>
    <row r="199" spans="1:7">
      <c r="A199" t="s">
        <v>215</v>
      </c>
      <c r="B199" s="75">
        <v>46221</v>
      </c>
      <c r="C199" t="s">
        <v>11</v>
      </c>
      <c r="D199" t="s">
        <v>9</v>
      </c>
      <c r="E199">
        <v>10</v>
      </c>
      <c r="F199" s="2">
        <v>84.11</v>
      </c>
      <c r="G199" t="s">
        <v>13</v>
      </c>
    </row>
    <row r="200" spans="1:7">
      <c r="A200" t="s">
        <v>216</v>
      </c>
      <c r="B200" s="75">
        <v>45952</v>
      </c>
      <c r="C200" t="s">
        <v>11</v>
      </c>
      <c r="D200" t="s">
        <v>9</v>
      </c>
      <c r="E200">
        <v>10</v>
      </c>
      <c r="F200" s="2">
        <v>63.67</v>
      </c>
      <c r="G200" t="s">
        <v>29</v>
      </c>
    </row>
    <row r="201" spans="1:7">
      <c r="A201" t="s">
        <v>217</v>
      </c>
      <c r="B201" s="75">
        <v>46054</v>
      </c>
      <c r="C201" t="s">
        <v>11</v>
      </c>
      <c r="D201" t="s">
        <v>15</v>
      </c>
      <c r="E201">
        <v>2</v>
      </c>
      <c r="F201" s="2">
        <v>76.61</v>
      </c>
      <c r="G201" t="s">
        <v>10</v>
      </c>
    </row>
    <row r="202" spans="1:7">
      <c r="A202" t="s">
        <v>218</v>
      </c>
      <c r="B202" s="75" t="s">
        <v>389</v>
      </c>
      <c r="C202" t="s">
        <v>8</v>
      </c>
      <c r="D202" t="s">
        <v>9</v>
      </c>
      <c r="E202">
        <v>7</v>
      </c>
      <c r="F202" s="2">
        <v>53.04</v>
      </c>
      <c r="G202" t="s">
        <v>10</v>
      </c>
    </row>
    <row r="203" spans="1:7">
      <c r="A203" t="s">
        <v>384</v>
      </c>
      <c r="B203" s="75">
        <v>46035</v>
      </c>
      <c r="C203" t="s">
        <v>8</v>
      </c>
      <c r="D203" t="s">
        <v>23</v>
      </c>
      <c r="E203">
        <v>5</v>
      </c>
      <c r="F203" s="2">
        <v>48.97</v>
      </c>
      <c r="G203" t="s">
        <v>13</v>
      </c>
    </row>
    <row r="204" spans="1:7">
      <c r="A204" t="s">
        <v>219</v>
      </c>
      <c r="B204" s="75">
        <v>46085</v>
      </c>
      <c r="C204" t="s">
        <v>18</v>
      </c>
      <c r="D204" t="s">
        <v>23</v>
      </c>
      <c r="E204">
        <v>2</v>
      </c>
      <c r="F204" s="2">
        <v>76.61</v>
      </c>
      <c r="G204" t="s">
        <v>13</v>
      </c>
    </row>
    <row r="205" spans="1:7">
      <c r="A205" t="s">
        <v>220</v>
      </c>
      <c r="B205" s="75">
        <v>45956</v>
      </c>
      <c r="C205" t="s">
        <v>8</v>
      </c>
      <c r="D205" t="s">
        <v>9</v>
      </c>
      <c r="E205">
        <v>3</v>
      </c>
      <c r="F205" s="2">
        <v>50.72</v>
      </c>
      <c r="G205" t="s">
        <v>10</v>
      </c>
    </row>
    <row r="206" spans="1:7">
      <c r="A206" t="s">
        <v>221</v>
      </c>
      <c r="B206" s="75">
        <v>46228</v>
      </c>
      <c r="C206" t="s">
        <v>11</v>
      </c>
      <c r="D206" t="s">
        <v>15</v>
      </c>
      <c r="E206">
        <v>6</v>
      </c>
      <c r="F206" s="2">
        <v>80.11</v>
      </c>
      <c r="G206" t="s">
        <v>13</v>
      </c>
    </row>
    <row r="207" spans="1:7">
      <c r="A207" t="s">
        <v>222</v>
      </c>
      <c r="B207" s="75">
        <v>45782</v>
      </c>
      <c r="C207" t="s">
        <v>8</v>
      </c>
      <c r="D207" t="s">
        <v>9</v>
      </c>
      <c r="E207">
        <v>8</v>
      </c>
      <c r="F207" s="2">
        <v>82.33</v>
      </c>
      <c r="G207" t="s">
        <v>10</v>
      </c>
    </row>
    <row r="208" spans="1:7">
      <c r="A208" t="s">
        <v>223</v>
      </c>
      <c r="B208" s="75">
        <v>46129</v>
      </c>
      <c r="C208" t="s">
        <v>11</v>
      </c>
      <c r="D208" t="s">
        <v>9</v>
      </c>
      <c r="E208">
        <v>3</v>
      </c>
      <c r="F208" s="2">
        <v>69.52</v>
      </c>
      <c r="G208" t="s">
        <v>10</v>
      </c>
    </row>
    <row r="209" spans="1:7">
      <c r="A209" t="s">
        <v>224</v>
      </c>
      <c r="B209" s="75">
        <v>46217</v>
      </c>
      <c r="C209" t="s">
        <v>8</v>
      </c>
      <c r="D209" t="s">
        <v>23</v>
      </c>
      <c r="E209">
        <v>5</v>
      </c>
      <c r="F209" s="2">
        <v>49.47</v>
      </c>
      <c r="G209" t="s">
        <v>13</v>
      </c>
    </row>
    <row r="210" spans="1:7">
      <c r="A210" t="s">
        <v>385</v>
      </c>
      <c r="B210" s="75">
        <v>45922</v>
      </c>
      <c r="C210" t="s">
        <v>44</v>
      </c>
      <c r="D210" t="s">
        <v>9</v>
      </c>
      <c r="E210">
        <v>9</v>
      </c>
      <c r="F210" s="2">
        <v>106.74</v>
      </c>
      <c r="G210" t="s">
        <v>10</v>
      </c>
    </row>
    <row r="211" spans="1:7">
      <c r="A211" t="s">
        <v>225</v>
      </c>
      <c r="B211" s="75">
        <v>46105</v>
      </c>
      <c r="C211" t="s">
        <v>18</v>
      </c>
      <c r="D211" t="s">
        <v>9</v>
      </c>
      <c r="E211">
        <v>1</v>
      </c>
      <c r="F211" s="2">
        <v>143.81</v>
      </c>
      <c r="G211" t="s">
        <v>10</v>
      </c>
    </row>
    <row r="212" spans="1:7">
      <c r="A212" t="s">
        <v>226</v>
      </c>
      <c r="B212" s="75">
        <v>45724</v>
      </c>
      <c r="C212" t="s">
        <v>11</v>
      </c>
      <c r="D212" t="s">
        <v>15</v>
      </c>
      <c r="E212">
        <v>10</v>
      </c>
      <c r="F212" s="2">
        <v>81.010000000000005</v>
      </c>
      <c r="G212" t="s">
        <v>10</v>
      </c>
    </row>
    <row r="213" spans="1:7">
      <c r="A213" t="s">
        <v>227</v>
      </c>
      <c r="B213" s="75">
        <v>45725</v>
      </c>
      <c r="C213" t="s">
        <v>11</v>
      </c>
      <c r="D213" t="s">
        <v>23</v>
      </c>
      <c r="E213">
        <v>6</v>
      </c>
      <c r="F213" s="2">
        <v>63.39</v>
      </c>
      <c r="G213" t="s">
        <v>10</v>
      </c>
    </row>
    <row r="214" spans="1:7">
      <c r="A214" t="s">
        <v>228</v>
      </c>
      <c r="B214" s="75">
        <v>46165</v>
      </c>
      <c r="C214" t="s">
        <v>11</v>
      </c>
      <c r="D214" t="s">
        <v>9</v>
      </c>
      <c r="E214">
        <v>2</v>
      </c>
      <c r="F214" s="2">
        <v>63.46</v>
      </c>
      <c r="G214" t="s">
        <v>10</v>
      </c>
    </row>
    <row r="215" spans="1:7">
      <c r="A215" t="s">
        <v>229</v>
      </c>
      <c r="B215" s="75">
        <v>45884</v>
      </c>
      <c r="C215" t="s">
        <v>11</v>
      </c>
      <c r="D215" t="s">
        <v>23</v>
      </c>
      <c r="E215">
        <v>2</v>
      </c>
      <c r="F215" s="2">
        <v>75.22</v>
      </c>
      <c r="G215" t="s">
        <v>10</v>
      </c>
    </row>
    <row r="216" spans="1:7">
      <c r="A216" t="s">
        <v>386</v>
      </c>
      <c r="B216" s="75">
        <v>45719</v>
      </c>
      <c r="C216" t="s">
        <v>44</v>
      </c>
      <c r="D216" t="s">
        <v>23</v>
      </c>
      <c r="E216">
        <v>1</v>
      </c>
      <c r="F216" s="2">
        <v>87.07</v>
      </c>
      <c r="G216" t="s">
        <v>13</v>
      </c>
    </row>
    <row r="217" spans="1:7">
      <c r="A217" t="s">
        <v>230</v>
      </c>
      <c r="B217" s="75">
        <v>46178</v>
      </c>
      <c r="C217" t="s">
        <v>8</v>
      </c>
      <c r="D217" t="s">
        <v>23</v>
      </c>
      <c r="E217">
        <v>8</v>
      </c>
      <c r="F217" s="2">
        <v>55.31</v>
      </c>
      <c r="G217" t="s">
        <v>10</v>
      </c>
    </row>
    <row r="218" spans="1:7">
      <c r="A218" t="s">
        <v>387</v>
      </c>
      <c r="B218" s="75">
        <v>45912</v>
      </c>
      <c r="C218" t="s">
        <v>44</v>
      </c>
      <c r="D218" t="s">
        <v>9</v>
      </c>
      <c r="E218">
        <v>5</v>
      </c>
      <c r="F218" s="2">
        <v>105.12</v>
      </c>
      <c r="G218" t="s">
        <v>10</v>
      </c>
    </row>
    <row r="219" spans="1:7">
      <c r="A219" t="s">
        <v>231</v>
      </c>
      <c r="B219" s="75">
        <v>46014</v>
      </c>
      <c r="C219" t="s">
        <v>18</v>
      </c>
      <c r="D219" t="s">
        <v>9</v>
      </c>
      <c r="E219">
        <v>1</v>
      </c>
      <c r="F219" s="2">
        <v>130.31</v>
      </c>
      <c r="G219" t="s">
        <v>10</v>
      </c>
    </row>
    <row r="220" spans="1:7">
      <c r="A220" t="s">
        <v>232</v>
      </c>
      <c r="B220" s="75">
        <v>45862</v>
      </c>
      <c r="C220" t="s">
        <v>44</v>
      </c>
      <c r="D220" t="s">
        <v>9</v>
      </c>
      <c r="E220">
        <v>7</v>
      </c>
      <c r="F220" s="2">
        <v>106.46</v>
      </c>
      <c r="G220" t="s">
        <v>19</v>
      </c>
    </row>
    <row r="221" spans="1:7">
      <c r="A221" t="s">
        <v>233</v>
      </c>
      <c r="B221" s="75">
        <v>45908</v>
      </c>
      <c r="C221" t="s">
        <v>11</v>
      </c>
      <c r="D221" t="s">
        <v>9</v>
      </c>
      <c r="E221">
        <v>2</v>
      </c>
      <c r="F221" s="2">
        <v>85.98</v>
      </c>
      <c r="G221" t="s">
        <v>13</v>
      </c>
    </row>
    <row r="222" spans="1:7">
      <c r="A222" t="s">
        <v>234</v>
      </c>
      <c r="B222" s="75" t="s">
        <v>389</v>
      </c>
      <c r="C222" t="s">
        <v>8</v>
      </c>
      <c r="D222" t="s">
        <v>9</v>
      </c>
      <c r="E222">
        <v>9</v>
      </c>
      <c r="F222" s="2">
        <v>41.41</v>
      </c>
      <c r="G222" t="s">
        <v>19</v>
      </c>
    </row>
    <row r="223" spans="1:7">
      <c r="A223" t="s">
        <v>235</v>
      </c>
      <c r="B223" s="75">
        <v>45702</v>
      </c>
      <c r="C223" t="s">
        <v>18</v>
      </c>
      <c r="D223" t="s">
        <v>15</v>
      </c>
      <c r="E223">
        <v>3</v>
      </c>
      <c r="F223" s="2">
        <v>127.67</v>
      </c>
      <c r="G223" t="s">
        <v>13</v>
      </c>
    </row>
    <row r="224" spans="1:7">
      <c r="A224" t="s">
        <v>236</v>
      </c>
      <c r="B224" s="75">
        <v>46129</v>
      </c>
      <c r="C224" t="s">
        <v>11</v>
      </c>
      <c r="D224" t="s">
        <v>9</v>
      </c>
      <c r="E224">
        <v>9</v>
      </c>
      <c r="F224" s="2">
        <v>65.08</v>
      </c>
      <c r="G224" t="s">
        <v>19</v>
      </c>
    </row>
    <row r="225" spans="1:7">
      <c r="A225" t="s">
        <v>237</v>
      </c>
      <c r="B225" s="75">
        <v>45771</v>
      </c>
      <c r="C225" t="s">
        <v>44</v>
      </c>
      <c r="D225" t="s">
        <v>9</v>
      </c>
      <c r="E225">
        <v>8</v>
      </c>
      <c r="F225" s="2">
        <v>108.72</v>
      </c>
      <c r="G225" t="s">
        <v>19</v>
      </c>
    </row>
    <row r="226" spans="1:7">
      <c r="A226" t="s">
        <v>388</v>
      </c>
      <c r="B226" s="75">
        <v>46195</v>
      </c>
      <c r="C226" t="s">
        <v>11</v>
      </c>
      <c r="D226" t="s">
        <v>9</v>
      </c>
      <c r="E226">
        <v>7</v>
      </c>
      <c r="F226" s="2">
        <v>85.97</v>
      </c>
      <c r="G226" t="s">
        <v>13</v>
      </c>
    </row>
    <row r="227" spans="1:7">
      <c r="A227" t="s">
        <v>238</v>
      </c>
      <c r="B227" s="75">
        <v>45734</v>
      </c>
      <c r="C227" t="s">
        <v>11</v>
      </c>
      <c r="D227" t="s">
        <v>9</v>
      </c>
      <c r="E227">
        <v>4</v>
      </c>
      <c r="F227" s="2">
        <v>69.75</v>
      </c>
      <c r="G227" t="s">
        <v>10</v>
      </c>
    </row>
    <row r="228" spans="1:7">
      <c r="A228" t="s">
        <v>239</v>
      </c>
      <c r="B228" s="75">
        <v>45850</v>
      </c>
      <c r="C228" t="s">
        <v>44</v>
      </c>
      <c r="D228" t="s">
        <v>23</v>
      </c>
      <c r="E228">
        <v>4</v>
      </c>
      <c r="F228" s="2">
        <v>103.04</v>
      </c>
      <c r="G228" t="s">
        <v>13</v>
      </c>
    </row>
    <row r="229" spans="1:7">
      <c r="A229" t="s">
        <v>240</v>
      </c>
      <c r="B229" s="75">
        <v>45805</v>
      </c>
      <c r="C229" t="s">
        <v>8</v>
      </c>
      <c r="D229" t="s">
        <v>15</v>
      </c>
      <c r="E229">
        <v>3</v>
      </c>
      <c r="F229" s="2">
        <v>41.84</v>
      </c>
      <c r="G229" t="s">
        <v>13</v>
      </c>
    </row>
    <row r="230" spans="1:7">
      <c r="A230" t="s">
        <v>241</v>
      </c>
      <c r="B230" s="75">
        <v>45799</v>
      </c>
      <c r="C230" t="s">
        <v>8</v>
      </c>
      <c r="D230" t="s">
        <v>9</v>
      </c>
      <c r="E230">
        <v>8</v>
      </c>
      <c r="F230" s="2">
        <v>41.4</v>
      </c>
      <c r="G230" t="s">
        <v>13</v>
      </c>
    </row>
    <row r="231" spans="1:7">
      <c r="A231" t="s">
        <v>242</v>
      </c>
      <c r="B231" s="75">
        <v>45742</v>
      </c>
      <c r="C231" t="s">
        <v>8</v>
      </c>
      <c r="D231" t="s">
        <v>9</v>
      </c>
      <c r="E231">
        <v>2</v>
      </c>
      <c r="F231" s="2">
        <v>44.31</v>
      </c>
      <c r="G231" t="s">
        <v>19</v>
      </c>
    </row>
    <row r="232" spans="1:7">
      <c r="A232" t="s">
        <v>243</v>
      </c>
      <c r="B232" s="75">
        <v>46105</v>
      </c>
      <c r="C232" t="s">
        <v>11</v>
      </c>
      <c r="D232" t="s">
        <v>23</v>
      </c>
      <c r="E232">
        <v>8</v>
      </c>
      <c r="F232" s="2">
        <v>65.81</v>
      </c>
      <c r="G232" t="s">
        <v>13</v>
      </c>
    </row>
    <row r="233" spans="1:7">
      <c r="A233" t="s">
        <v>244</v>
      </c>
      <c r="B233" s="75">
        <v>46154</v>
      </c>
      <c r="C233" t="s">
        <v>44</v>
      </c>
      <c r="D233" t="s">
        <v>15</v>
      </c>
      <c r="E233">
        <v>4</v>
      </c>
      <c r="F233" s="2">
        <v>115.99</v>
      </c>
      <c r="G233" t="s">
        <v>10</v>
      </c>
    </row>
    <row r="234" spans="1:7">
      <c r="A234" t="s">
        <v>245</v>
      </c>
      <c r="B234" s="75">
        <v>45908</v>
      </c>
      <c r="C234" t="s">
        <v>8</v>
      </c>
      <c r="D234" t="s">
        <v>15</v>
      </c>
      <c r="E234">
        <v>9</v>
      </c>
      <c r="F234" s="2">
        <v>51.68</v>
      </c>
      <c r="G234" t="s">
        <v>13</v>
      </c>
    </row>
    <row r="235" spans="1:7">
      <c r="A235" t="s">
        <v>246</v>
      </c>
      <c r="B235" s="75">
        <v>46029</v>
      </c>
      <c r="C235" t="s">
        <v>44</v>
      </c>
      <c r="D235" t="s">
        <v>15</v>
      </c>
      <c r="E235">
        <v>1</v>
      </c>
      <c r="F235" s="2">
        <v>107.33</v>
      </c>
      <c r="G235" t="s">
        <v>10</v>
      </c>
    </row>
    <row r="236" spans="1:7">
      <c r="A236" t="s">
        <v>247</v>
      </c>
      <c r="B236" s="75">
        <v>46041</v>
      </c>
      <c r="C236" t="s">
        <v>11</v>
      </c>
      <c r="D236" t="s">
        <v>9</v>
      </c>
      <c r="E236">
        <v>7</v>
      </c>
      <c r="F236" s="2">
        <v>75.739999999999995</v>
      </c>
      <c r="G236" t="s">
        <v>13</v>
      </c>
    </row>
    <row r="237" spans="1:7">
      <c r="A237" t="s">
        <v>248</v>
      </c>
      <c r="B237" s="75">
        <v>45893</v>
      </c>
      <c r="C237" t="s">
        <v>8</v>
      </c>
      <c r="D237" t="s">
        <v>15</v>
      </c>
      <c r="E237">
        <v>3</v>
      </c>
      <c r="F237" s="2">
        <v>52.88</v>
      </c>
      <c r="G237" t="s">
        <v>13</v>
      </c>
    </row>
    <row r="238" spans="1:7">
      <c r="A238" t="s">
        <v>249</v>
      </c>
      <c r="B238" s="75">
        <v>46099</v>
      </c>
      <c r="C238" t="s">
        <v>11</v>
      </c>
      <c r="D238" t="s">
        <v>9</v>
      </c>
      <c r="E238">
        <v>2</v>
      </c>
      <c r="F238" s="2">
        <v>63.43</v>
      </c>
      <c r="G238" t="s">
        <v>10</v>
      </c>
    </row>
    <row r="239" spans="1:7">
      <c r="A239" t="s">
        <v>250</v>
      </c>
      <c r="B239" s="75">
        <v>45769</v>
      </c>
      <c r="C239" t="s">
        <v>8</v>
      </c>
      <c r="D239" t="s">
        <v>23</v>
      </c>
      <c r="E239">
        <v>1</v>
      </c>
      <c r="F239" s="2">
        <v>52.92</v>
      </c>
      <c r="G239" t="s">
        <v>19</v>
      </c>
    </row>
    <row r="240" spans="1:7">
      <c r="A240" t="s">
        <v>251</v>
      </c>
      <c r="B240" s="75">
        <v>45719</v>
      </c>
      <c r="C240" t="s">
        <v>8</v>
      </c>
      <c r="D240" t="s">
        <v>15</v>
      </c>
      <c r="E240">
        <v>9</v>
      </c>
      <c r="F240" s="2">
        <v>40.840000000000003</v>
      </c>
      <c r="G240" t="s">
        <v>19</v>
      </c>
    </row>
    <row r="241" spans="1:7">
      <c r="A241" t="s">
        <v>252</v>
      </c>
      <c r="B241" s="75">
        <v>46147</v>
      </c>
      <c r="C241" t="s">
        <v>190</v>
      </c>
      <c r="D241" t="s">
        <v>9</v>
      </c>
      <c r="E241">
        <v>2</v>
      </c>
      <c r="F241" s="2">
        <v>76.41</v>
      </c>
      <c r="G241" t="s">
        <v>10</v>
      </c>
    </row>
    <row r="242" spans="1:7">
      <c r="A242" t="s">
        <v>253</v>
      </c>
      <c r="B242" s="75">
        <v>45786</v>
      </c>
      <c r="C242" t="s">
        <v>8</v>
      </c>
      <c r="D242" t="s">
        <v>15</v>
      </c>
      <c r="E242">
        <v>4</v>
      </c>
      <c r="F242" s="2">
        <v>45.32</v>
      </c>
      <c r="G242" t="s">
        <v>19</v>
      </c>
    </row>
    <row r="243" spans="1:7">
      <c r="A243" t="s">
        <v>254</v>
      </c>
      <c r="B243" s="75" t="s">
        <v>389</v>
      </c>
      <c r="C243" t="s">
        <v>11</v>
      </c>
      <c r="D243" t="s">
        <v>9</v>
      </c>
      <c r="E243">
        <v>4</v>
      </c>
      <c r="F243" s="2">
        <v>68.069999999999993</v>
      </c>
      <c r="G243" t="s">
        <v>19</v>
      </c>
    </row>
    <row r="244" spans="1:7">
      <c r="A244" t="s">
        <v>255</v>
      </c>
      <c r="B244" s="75">
        <v>45693</v>
      </c>
      <c r="C244" t="s">
        <v>44</v>
      </c>
      <c r="D244" t="s">
        <v>9</v>
      </c>
      <c r="E244">
        <v>10</v>
      </c>
      <c r="F244" s="2">
        <v>114.69</v>
      </c>
      <c r="G244" t="s">
        <v>10</v>
      </c>
    </row>
    <row r="245" spans="1:7">
      <c r="A245" t="s">
        <v>256</v>
      </c>
      <c r="B245" s="75">
        <v>45862</v>
      </c>
      <c r="C245" t="s">
        <v>44</v>
      </c>
      <c r="D245" t="s">
        <v>23</v>
      </c>
      <c r="E245">
        <v>9</v>
      </c>
      <c r="F245" s="2">
        <v>76.61</v>
      </c>
      <c r="G245" t="s">
        <v>13</v>
      </c>
    </row>
    <row r="246" spans="1:7">
      <c r="A246" t="s">
        <v>257</v>
      </c>
      <c r="B246" s="75">
        <v>45914</v>
      </c>
      <c r="C246" t="s">
        <v>8</v>
      </c>
      <c r="D246" t="s">
        <v>23</v>
      </c>
      <c r="E246">
        <v>4</v>
      </c>
      <c r="F246" s="2">
        <v>54.29</v>
      </c>
      <c r="G246" t="s">
        <v>10</v>
      </c>
    </row>
    <row r="247" spans="1:7">
      <c r="A247" t="s">
        <v>258</v>
      </c>
      <c r="B247" s="75">
        <v>46189</v>
      </c>
      <c r="C247" t="s">
        <v>8</v>
      </c>
      <c r="D247" t="s">
        <v>9</v>
      </c>
      <c r="E247">
        <v>10</v>
      </c>
      <c r="F247" s="2">
        <v>48.55</v>
      </c>
      <c r="G247" t="s">
        <v>10</v>
      </c>
    </row>
    <row r="248" spans="1:7">
      <c r="A248" t="s">
        <v>259</v>
      </c>
      <c r="B248" s="75">
        <v>45781</v>
      </c>
      <c r="C248" t="s">
        <v>8</v>
      </c>
      <c r="D248" t="s">
        <v>9</v>
      </c>
      <c r="E248">
        <v>3</v>
      </c>
      <c r="F248" s="2">
        <v>50.56</v>
      </c>
      <c r="G248" t="s">
        <v>19</v>
      </c>
    </row>
    <row r="249" spans="1:7">
      <c r="A249" t="s">
        <v>260</v>
      </c>
      <c r="B249" s="75">
        <v>45886</v>
      </c>
      <c r="C249" t="s">
        <v>8</v>
      </c>
      <c r="D249" t="s">
        <v>15</v>
      </c>
      <c r="E249">
        <v>4</v>
      </c>
      <c r="F249" s="2">
        <v>53.79</v>
      </c>
      <c r="G249" t="s">
        <v>10</v>
      </c>
    </row>
    <row r="250" spans="1:7">
      <c r="A250" t="s">
        <v>261</v>
      </c>
      <c r="B250" s="75">
        <v>46157</v>
      </c>
      <c r="C250" t="s">
        <v>8</v>
      </c>
      <c r="D250" t="s">
        <v>9</v>
      </c>
      <c r="E250">
        <v>7</v>
      </c>
      <c r="F250" s="2">
        <v>48.04</v>
      </c>
      <c r="G250" t="s">
        <v>10</v>
      </c>
    </row>
    <row r="251" spans="1:7">
      <c r="A251" t="s">
        <v>262</v>
      </c>
      <c r="B251" s="75">
        <v>46009</v>
      </c>
      <c r="C251" t="s">
        <v>8</v>
      </c>
      <c r="D251" t="s">
        <v>9</v>
      </c>
      <c r="E251">
        <v>10</v>
      </c>
      <c r="F251" s="2">
        <v>48.09</v>
      </c>
      <c r="G251" t="s">
        <v>10</v>
      </c>
    </row>
    <row r="252" spans="1:7">
      <c r="A252" t="s">
        <v>263</v>
      </c>
      <c r="B252" s="75">
        <v>45752</v>
      </c>
      <c r="C252" t="s">
        <v>8</v>
      </c>
      <c r="D252" t="s">
        <v>9</v>
      </c>
      <c r="E252">
        <v>1</v>
      </c>
      <c r="F252" s="2">
        <v>42.32</v>
      </c>
      <c r="G252" t="s">
        <v>29</v>
      </c>
    </row>
    <row r="253" spans="1:7">
      <c r="A253" t="s">
        <v>264</v>
      </c>
      <c r="B253" s="75">
        <v>46147</v>
      </c>
      <c r="C253" t="s">
        <v>8</v>
      </c>
      <c r="D253" t="s">
        <v>15</v>
      </c>
      <c r="E253">
        <v>10</v>
      </c>
      <c r="F253" s="2">
        <v>48.58</v>
      </c>
      <c r="G253" t="s">
        <v>29</v>
      </c>
    </row>
    <row r="254" spans="1:7">
      <c r="A254" t="s">
        <v>265</v>
      </c>
      <c r="B254" s="75">
        <v>45684</v>
      </c>
      <c r="C254" t="s">
        <v>44</v>
      </c>
      <c r="D254" t="s">
        <v>15</v>
      </c>
      <c r="E254">
        <v>5</v>
      </c>
      <c r="F254" s="2">
        <v>117.53</v>
      </c>
      <c r="G254" t="s">
        <v>29</v>
      </c>
    </row>
    <row r="255" spans="1:7">
      <c r="A255" t="s">
        <v>266</v>
      </c>
      <c r="B255" s="75">
        <v>45673</v>
      </c>
      <c r="C255" t="s">
        <v>44</v>
      </c>
      <c r="D255" t="s">
        <v>23</v>
      </c>
      <c r="E255">
        <v>8</v>
      </c>
      <c r="F255" s="2">
        <v>89.44</v>
      </c>
      <c r="G255" t="s">
        <v>10</v>
      </c>
    </row>
    <row r="256" spans="1:7">
      <c r="A256" t="s">
        <v>267</v>
      </c>
      <c r="B256" s="75">
        <v>45918</v>
      </c>
      <c r="C256" t="s">
        <v>18</v>
      </c>
      <c r="D256" t="s">
        <v>23</v>
      </c>
      <c r="E256">
        <v>1</v>
      </c>
      <c r="F256" s="2">
        <v>108.44</v>
      </c>
      <c r="G256" t="s">
        <v>10</v>
      </c>
    </row>
    <row r="257" spans="1:7">
      <c r="A257" t="s">
        <v>268</v>
      </c>
      <c r="B257" s="75">
        <v>46234</v>
      </c>
      <c r="C257" t="s">
        <v>8</v>
      </c>
      <c r="D257" t="s">
        <v>23</v>
      </c>
      <c r="E257">
        <v>3</v>
      </c>
      <c r="F257" s="2">
        <v>40.57</v>
      </c>
      <c r="G257" t="s">
        <v>10</v>
      </c>
    </row>
    <row r="258" spans="1:7">
      <c r="A258" t="s">
        <v>269</v>
      </c>
      <c r="B258" s="75" t="s">
        <v>389</v>
      </c>
      <c r="C258" t="s">
        <v>44</v>
      </c>
      <c r="D258" t="s">
        <v>23</v>
      </c>
      <c r="E258">
        <v>1</v>
      </c>
      <c r="F258" s="2">
        <v>118.71</v>
      </c>
      <c r="G258" t="s">
        <v>10</v>
      </c>
    </row>
    <row r="259" spans="1:7">
      <c r="A259" t="s">
        <v>124</v>
      </c>
      <c r="B259" s="75">
        <v>46181</v>
      </c>
      <c r="C259" t="s">
        <v>44</v>
      </c>
      <c r="D259" t="s">
        <v>23</v>
      </c>
      <c r="E259">
        <v>3</v>
      </c>
      <c r="F259" s="2">
        <v>105.56</v>
      </c>
      <c r="G259" t="s">
        <v>10</v>
      </c>
    </row>
    <row r="260" spans="1:7">
      <c r="A260" t="s">
        <v>270</v>
      </c>
      <c r="B260" s="75">
        <v>45943</v>
      </c>
      <c r="C260" t="s">
        <v>8</v>
      </c>
      <c r="D260" t="s">
        <v>9</v>
      </c>
      <c r="E260">
        <v>10</v>
      </c>
      <c r="F260" s="2">
        <v>40.92</v>
      </c>
      <c r="G260" t="s">
        <v>10</v>
      </c>
    </row>
    <row r="261" spans="1:7">
      <c r="A261" t="s">
        <v>271</v>
      </c>
      <c r="B261" s="75">
        <v>46225</v>
      </c>
      <c r="C261" t="s">
        <v>18</v>
      </c>
      <c r="D261" t="s">
        <v>15</v>
      </c>
      <c r="E261">
        <v>1</v>
      </c>
      <c r="F261" s="2">
        <v>134.58000000000001</v>
      </c>
      <c r="G261" t="s">
        <v>10</v>
      </c>
    </row>
    <row r="262" spans="1:7">
      <c r="A262" t="s">
        <v>272</v>
      </c>
      <c r="B262" s="75">
        <v>45837</v>
      </c>
      <c r="C262" t="s">
        <v>8</v>
      </c>
      <c r="D262" t="s">
        <v>23</v>
      </c>
      <c r="E262">
        <v>8</v>
      </c>
      <c r="F262" s="2">
        <v>47.66</v>
      </c>
      <c r="G262" t="s">
        <v>19</v>
      </c>
    </row>
    <row r="263" spans="1:7">
      <c r="A263" t="s">
        <v>273</v>
      </c>
      <c r="B263" s="75">
        <v>45739</v>
      </c>
      <c r="C263" t="s">
        <v>18</v>
      </c>
      <c r="D263" t="s">
        <v>23</v>
      </c>
      <c r="E263">
        <v>5</v>
      </c>
      <c r="F263" s="2">
        <v>148.55000000000001</v>
      </c>
      <c r="G263" t="s">
        <v>10</v>
      </c>
    </row>
    <row r="264" spans="1:7">
      <c r="A264" t="s">
        <v>274</v>
      </c>
      <c r="B264" s="75">
        <v>46186</v>
      </c>
      <c r="C264" t="s">
        <v>18</v>
      </c>
      <c r="D264" t="s">
        <v>9</v>
      </c>
      <c r="E264">
        <v>2</v>
      </c>
      <c r="F264" s="2">
        <v>120.65</v>
      </c>
      <c r="G264" t="s">
        <v>19</v>
      </c>
    </row>
    <row r="265" spans="1:7">
      <c r="A265" t="s">
        <v>275</v>
      </c>
      <c r="B265" s="75">
        <v>46120</v>
      </c>
      <c r="C265" t="s">
        <v>44</v>
      </c>
      <c r="D265" t="s">
        <v>9</v>
      </c>
      <c r="E265">
        <v>7</v>
      </c>
      <c r="F265" s="2">
        <v>94.56</v>
      </c>
      <c r="G265" t="s">
        <v>19</v>
      </c>
    </row>
    <row r="266" spans="1:7">
      <c r="A266" t="s">
        <v>276</v>
      </c>
      <c r="B266" s="75">
        <v>45800</v>
      </c>
      <c r="C266" t="s">
        <v>18</v>
      </c>
      <c r="D266" t="s">
        <v>23</v>
      </c>
      <c r="E266">
        <v>7</v>
      </c>
      <c r="F266" s="2">
        <v>141.58000000000001</v>
      </c>
      <c r="G266" t="s">
        <v>19</v>
      </c>
    </row>
    <row r="267" spans="1:7">
      <c r="A267" t="s">
        <v>277</v>
      </c>
      <c r="B267" s="75">
        <v>46184</v>
      </c>
      <c r="C267" t="s">
        <v>44</v>
      </c>
      <c r="D267" t="s">
        <v>9</v>
      </c>
      <c r="E267">
        <v>7</v>
      </c>
      <c r="F267" s="2">
        <v>116.36</v>
      </c>
      <c r="G267" t="s">
        <v>13</v>
      </c>
    </row>
    <row r="268" spans="1:7">
      <c r="A268" t="s">
        <v>278</v>
      </c>
      <c r="B268" s="75">
        <v>46138</v>
      </c>
      <c r="C268" t="s">
        <v>8</v>
      </c>
      <c r="D268" t="s">
        <v>15</v>
      </c>
      <c r="E268">
        <v>10</v>
      </c>
      <c r="F268" s="2">
        <v>42.79</v>
      </c>
      <c r="G268" t="s">
        <v>10</v>
      </c>
    </row>
    <row r="269" spans="1:7">
      <c r="A269" t="s">
        <v>279</v>
      </c>
      <c r="B269" s="75">
        <v>45740</v>
      </c>
      <c r="C269" t="s">
        <v>18</v>
      </c>
      <c r="D269" t="s">
        <v>15</v>
      </c>
      <c r="E269">
        <v>9</v>
      </c>
      <c r="F269" s="2">
        <v>126.97</v>
      </c>
      <c r="G269" t="s">
        <v>19</v>
      </c>
    </row>
    <row r="270" spans="1:7">
      <c r="A270" t="s">
        <v>280</v>
      </c>
      <c r="B270" s="75">
        <v>46198</v>
      </c>
      <c r="C270" t="s">
        <v>8</v>
      </c>
      <c r="D270" t="s">
        <v>281</v>
      </c>
      <c r="E270">
        <v>9</v>
      </c>
      <c r="F270" s="2">
        <v>55.82</v>
      </c>
      <c r="G270" t="s">
        <v>10</v>
      </c>
    </row>
    <row r="271" spans="1:7">
      <c r="A271" t="s">
        <v>282</v>
      </c>
      <c r="B271" s="75">
        <v>46147</v>
      </c>
      <c r="C271" t="s">
        <v>8</v>
      </c>
      <c r="D271" t="s">
        <v>23</v>
      </c>
      <c r="E271">
        <v>8</v>
      </c>
      <c r="F271" s="2">
        <v>48.91</v>
      </c>
      <c r="G271" t="s">
        <v>10</v>
      </c>
    </row>
    <row r="272" spans="1:7">
      <c r="A272" t="s">
        <v>283</v>
      </c>
      <c r="B272" s="75">
        <v>46028</v>
      </c>
      <c r="C272" t="s">
        <v>8</v>
      </c>
      <c r="D272" t="s">
        <v>9</v>
      </c>
      <c r="E272">
        <v>5</v>
      </c>
      <c r="F272" s="2">
        <v>51.27</v>
      </c>
      <c r="G272" t="s">
        <v>13</v>
      </c>
    </row>
    <row r="273" spans="1:7">
      <c r="A273" t="s">
        <v>284</v>
      </c>
      <c r="B273" s="75">
        <v>45663</v>
      </c>
      <c r="C273" t="s">
        <v>44</v>
      </c>
      <c r="D273" t="s">
        <v>9</v>
      </c>
      <c r="E273">
        <v>3</v>
      </c>
      <c r="F273" s="2">
        <v>113.27</v>
      </c>
      <c r="G273" t="s">
        <v>19</v>
      </c>
    </row>
    <row r="274" spans="1:7">
      <c r="A274" t="s">
        <v>285</v>
      </c>
      <c r="B274" s="75">
        <v>45757</v>
      </c>
      <c r="C274" t="s">
        <v>8</v>
      </c>
      <c r="D274" t="s">
        <v>9</v>
      </c>
      <c r="E274">
        <v>6</v>
      </c>
      <c r="F274" s="2">
        <v>48.61</v>
      </c>
      <c r="G274" t="s">
        <v>10</v>
      </c>
    </row>
    <row r="275" spans="1:7">
      <c r="A275" t="s">
        <v>286</v>
      </c>
      <c r="B275" s="75">
        <v>46224</v>
      </c>
      <c r="C275" t="s">
        <v>11</v>
      </c>
      <c r="D275" t="s">
        <v>9</v>
      </c>
      <c r="E275">
        <v>9</v>
      </c>
      <c r="F275" s="2">
        <v>69.849999999999994</v>
      </c>
      <c r="G275" t="s">
        <v>13</v>
      </c>
    </row>
    <row r="276" spans="1:7">
      <c r="A276" t="s">
        <v>287</v>
      </c>
      <c r="B276" s="75">
        <v>45862</v>
      </c>
      <c r="C276" t="s">
        <v>18</v>
      </c>
      <c r="D276" t="s">
        <v>23</v>
      </c>
      <c r="E276">
        <v>10</v>
      </c>
      <c r="F276" s="2">
        <v>133.09</v>
      </c>
      <c r="G276" t="s">
        <v>10</v>
      </c>
    </row>
    <row r="277" spans="1:7">
      <c r="A277" t="s">
        <v>288</v>
      </c>
      <c r="B277" s="75">
        <v>46115</v>
      </c>
      <c r="C277" t="s">
        <v>18</v>
      </c>
      <c r="D277" t="s">
        <v>23</v>
      </c>
      <c r="E277">
        <v>8</v>
      </c>
      <c r="F277" s="2">
        <v>148.56</v>
      </c>
      <c r="G277" t="s">
        <v>29</v>
      </c>
    </row>
    <row r="278" spans="1:7">
      <c r="A278" t="s">
        <v>289</v>
      </c>
      <c r="B278" s="75">
        <v>46081</v>
      </c>
      <c r="C278" t="s">
        <v>18</v>
      </c>
      <c r="D278" t="s">
        <v>15</v>
      </c>
      <c r="E278">
        <v>7</v>
      </c>
      <c r="F278" s="2">
        <v>115.5</v>
      </c>
      <c r="G278" t="s">
        <v>10</v>
      </c>
    </row>
    <row r="279" spans="1:7">
      <c r="A279" t="s">
        <v>290</v>
      </c>
      <c r="B279" s="75">
        <v>46218</v>
      </c>
      <c r="C279" t="s">
        <v>11</v>
      </c>
      <c r="D279" t="s">
        <v>15</v>
      </c>
      <c r="E279">
        <v>2</v>
      </c>
      <c r="F279" s="2">
        <v>64.930000000000007</v>
      </c>
      <c r="G279" t="s">
        <v>10</v>
      </c>
    </row>
    <row r="280" spans="1:7">
      <c r="A280" t="s">
        <v>291</v>
      </c>
      <c r="B280" s="75">
        <v>46177</v>
      </c>
      <c r="C280" t="s">
        <v>11</v>
      </c>
      <c r="D280" t="s">
        <v>23</v>
      </c>
      <c r="E280">
        <v>10</v>
      </c>
      <c r="F280" s="2">
        <v>79.599999999999994</v>
      </c>
      <c r="G280" t="s">
        <v>10</v>
      </c>
    </row>
    <row r="281" spans="1:7">
      <c r="A281" t="s">
        <v>292</v>
      </c>
      <c r="B281" s="75">
        <v>45947</v>
      </c>
      <c r="C281" t="s">
        <v>8</v>
      </c>
      <c r="D281" t="s">
        <v>23</v>
      </c>
      <c r="E281">
        <v>7</v>
      </c>
      <c r="F281" s="2">
        <v>47.43</v>
      </c>
      <c r="G281" t="s">
        <v>10</v>
      </c>
    </row>
    <row r="282" spans="1:7">
      <c r="A282" t="s">
        <v>293</v>
      </c>
      <c r="B282" s="75">
        <v>45724</v>
      </c>
      <c r="C282" t="s">
        <v>8</v>
      </c>
      <c r="D282" t="s">
        <v>9</v>
      </c>
      <c r="E282">
        <v>3</v>
      </c>
      <c r="F282" s="2">
        <v>47.39</v>
      </c>
      <c r="G282" t="s">
        <v>13</v>
      </c>
    </row>
    <row r="283" spans="1:7">
      <c r="A283" t="s">
        <v>294</v>
      </c>
      <c r="B283" s="75">
        <v>46085</v>
      </c>
      <c r="C283" t="s">
        <v>8</v>
      </c>
      <c r="D283" t="s">
        <v>9</v>
      </c>
      <c r="E283">
        <v>9</v>
      </c>
      <c r="F283" s="2">
        <v>51.16</v>
      </c>
      <c r="G283" t="s">
        <v>19</v>
      </c>
    </row>
    <row r="284" spans="1:7">
      <c r="A284" t="s">
        <v>295</v>
      </c>
      <c r="B284" s="75">
        <v>46070</v>
      </c>
      <c r="C284" t="s">
        <v>8</v>
      </c>
      <c r="D284" t="s">
        <v>9</v>
      </c>
      <c r="E284">
        <v>3</v>
      </c>
      <c r="F284" s="2">
        <v>50.3</v>
      </c>
      <c r="G284" t="s">
        <v>10</v>
      </c>
    </row>
    <row r="285" spans="1:7">
      <c r="A285" t="s">
        <v>296</v>
      </c>
      <c r="B285" s="75">
        <v>46019</v>
      </c>
      <c r="C285" t="s">
        <v>8</v>
      </c>
      <c r="D285" t="s">
        <v>23</v>
      </c>
      <c r="E285">
        <v>8</v>
      </c>
      <c r="F285" s="2">
        <v>54.36</v>
      </c>
      <c r="G285" t="s">
        <v>13</v>
      </c>
    </row>
    <row r="286" spans="1:7">
      <c r="A286" t="s">
        <v>297</v>
      </c>
      <c r="B286" s="75">
        <v>46153</v>
      </c>
      <c r="C286" t="s">
        <v>8</v>
      </c>
      <c r="D286" t="s">
        <v>9</v>
      </c>
      <c r="E286">
        <v>1</v>
      </c>
      <c r="F286" s="2">
        <v>51.61</v>
      </c>
      <c r="G286" t="s">
        <v>13</v>
      </c>
    </row>
    <row r="287" spans="1:7">
      <c r="A287" t="s">
        <v>298</v>
      </c>
      <c r="B287" s="75">
        <v>45995</v>
      </c>
      <c r="C287" t="s">
        <v>8</v>
      </c>
      <c r="D287" t="s">
        <v>23</v>
      </c>
      <c r="E287">
        <v>5</v>
      </c>
      <c r="F287" s="2">
        <v>64.430000000000007</v>
      </c>
      <c r="G287" t="s">
        <v>29</v>
      </c>
    </row>
    <row r="288" spans="1:7">
      <c r="A288" t="s">
        <v>299</v>
      </c>
      <c r="B288" s="75">
        <v>45678</v>
      </c>
      <c r="C288" t="s">
        <v>8</v>
      </c>
      <c r="D288" t="s">
        <v>9</v>
      </c>
      <c r="E288">
        <v>6</v>
      </c>
      <c r="F288" s="2">
        <v>52.55</v>
      </c>
      <c r="G288" t="s">
        <v>10</v>
      </c>
    </row>
    <row r="289" spans="1:7">
      <c r="A289" t="s">
        <v>300</v>
      </c>
      <c r="B289" s="75">
        <v>45781</v>
      </c>
      <c r="C289" t="s">
        <v>8</v>
      </c>
      <c r="D289" t="s">
        <v>9</v>
      </c>
      <c r="E289">
        <v>7</v>
      </c>
      <c r="F289" s="2">
        <v>51.82</v>
      </c>
      <c r="G289" t="s">
        <v>13</v>
      </c>
    </row>
    <row r="290" spans="1:7">
      <c r="A290" t="s">
        <v>301</v>
      </c>
      <c r="B290" s="75">
        <v>45715</v>
      </c>
      <c r="C290" t="s">
        <v>8</v>
      </c>
      <c r="D290" t="s">
        <v>23</v>
      </c>
      <c r="E290">
        <v>8</v>
      </c>
      <c r="F290" s="2">
        <v>52.44</v>
      </c>
      <c r="G290" t="s">
        <v>10</v>
      </c>
    </row>
    <row r="291" spans="1:7">
      <c r="A291" t="s">
        <v>302</v>
      </c>
      <c r="B291" s="75">
        <v>46057</v>
      </c>
      <c r="C291" t="s">
        <v>8</v>
      </c>
      <c r="D291" t="s">
        <v>23</v>
      </c>
      <c r="E291">
        <v>1</v>
      </c>
      <c r="F291" s="2">
        <v>52.32</v>
      </c>
      <c r="G291" t="s">
        <v>10</v>
      </c>
    </row>
    <row r="292" spans="1:7">
      <c r="A292" t="s">
        <v>303</v>
      </c>
      <c r="B292" s="75">
        <v>46111</v>
      </c>
      <c r="C292" t="s">
        <v>8</v>
      </c>
      <c r="D292" t="s">
        <v>23</v>
      </c>
      <c r="E292">
        <v>9</v>
      </c>
      <c r="F292" s="2">
        <v>45.12</v>
      </c>
      <c r="G292" t="s">
        <v>19</v>
      </c>
    </row>
    <row r="293" spans="1:7">
      <c r="A293" t="s">
        <v>304</v>
      </c>
      <c r="B293" s="75">
        <v>46049</v>
      </c>
      <c r="C293" t="s">
        <v>44</v>
      </c>
      <c r="D293" t="s">
        <v>23</v>
      </c>
      <c r="E293">
        <v>4</v>
      </c>
      <c r="F293" s="2">
        <v>93.77</v>
      </c>
      <c r="G293" t="s">
        <v>10</v>
      </c>
    </row>
  </sheetData>
  <conditionalFormatting sqref="A1:A1048576">
    <cfRule type="duplicateValues" dxfId="63" priority="2"/>
  </conditionalFormatting>
  <conditionalFormatting sqref="A2:A293">
    <cfRule type="duplicateValues" dxfId="62"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9B311-6AC1-499E-9486-1E7705E01FC5}">
  <dimension ref="A1:L34"/>
  <sheetViews>
    <sheetView zoomScale="48" zoomScaleNormal="90" workbookViewId="0">
      <selection activeCell="H13" sqref="H13"/>
    </sheetView>
  </sheetViews>
  <sheetFormatPr defaultRowHeight="14.5"/>
  <cols>
    <col min="1" max="1" width="30.6328125" customWidth="1"/>
    <col min="2" max="2" width="14.54296875" customWidth="1"/>
    <col min="3" max="3" width="8.7265625" customWidth="1"/>
    <col min="5" max="5" width="17.453125" customWidth="1"/>
    <col min="6" max="6" width="17.453125" bestFit="1" customWidth="1"/>
    <col min="7" max="7" width="11" customWidth="1"/>
    <col min="8" max="8" width="11.08984375" bestFit="1" customWidth="1"/>
    <col min="9" max="9" width="26.90625" bestFit="1" customWidth="1"/>
    <col min="10" max="10" width="18.26953125" customWidth="1"/>
    <col min="11" max="11" width="9" customWidth="1"/>
    <col min="12" max="12" width="20.36328125" customWidth="1"/>
    <col min="13" max="13" width="25.6328125" bestFit="1" customWidth="1"/>
    <col min="14" max="14" width="17.453125" bestFit="1" customWidth="1"/>
  </cols>
  <sheetData>
    <row r="1" spans="1:12" ht="28.5" customHeight="1">
      <c r="A1" s="7" t="s">
        <v>345</v>
      </c>
      <c r="B1" s="64"/>
      <c r="C1" s="64"/>
      <c r="D1" s="64"/>
      <c r="E1" s="64"/>
      <c r="F1" s="64"/>
      <c r="G1" s="9"/>
      <c r="H1" s="4"/>
      <c r="I1" s="9"/>
      <c r="J1" s="10" t="s">
        <v>314</v>
      </c>
      <c r="K1" s="4"/>
      <c r="L1" s="4"/>
    </row>
    <row r="2" spans="1:12" ht="14.5" customHeight="1">
      <c r="A2" s="10"/>
      <c r="B2" s="65" t="s">
        <v>346</v>
      </c>
      <c r="C2" s="65"/>
      <c r="D2" s="65"/>
      <c r="E2" s="65"/>
      <c r="F2" s="65"/>
      <c r="G2" s="10"/>
      <c r="H2" s="4"/>
      <c r="I2" s="9"/>
      <c r="J2" s="20" t="s">
        <v>390</v>
      </c>
      <c r="K2" s="8"/>
      <c r="L2" s="87"/>
    </row>
    <row r="3" spans="1:12" ht="14.5" customHeight="1">
      <c r="A3" s="3"/>
      <c r="B3" s="3"/>
      <c r="C3" s="3"/>
      <c r="D3" s="3"/>
      <c r="E3" s="3"/>
      <c r="F3" s="3"/>
      <c r="G3" s="3"/>
      <c r="H3" s="7"/>
      <c r="I3" s="8"/>
      <c r="J3" s="17"/>
      <c r="K3" s="4"/>
      <c r="L3" s="4"/>
    </row>
    <row r="4" spans="1:12">
      <c r="A4" s="58"/>
      <c r="B4" s="59"/>
      <c r="C4" s="58"/>
      <c r="D4" s="58"/>
      <c r="E4" s="58"/>
      <c r="F4" s="58"/>
      <c r="G4" s="58"/>
      <c r="H4" s="58"/>
      <c r="I4" s="58"/>
      <c r="J4" s="58"/>
      <c r="K4" s="32"/>
      <c r="L4" s="32"/>
    </row>
    <row r="5" spans="1:12">
      <c r="A5" s="58"/>
      <c r="B5" s="58"/>
      <c r="C5" s="58"/>
      <c r="D5" s="58"/>
      <c r="E5" s="58"/>
      <c r="F5" s="58"/>
      <c r="G5" s="58"/>
      <c r="H5" s="58"/>
      <c r="I5" s="58"/>
      <c r="J5" s="58"/>
      <c r="K5" s="32"/>
      <c r="L5" s="32"/>
    </row>
    <row r="6" spans="1:12">
      <c r="A6" s="58"/>
      <c r="B6" s="58"/>
      <c r="C6" s="58"/>
      <c r="D6" s="58"/>
      <c r="E6" s="58"/>
      <c r="F6" s="58"/>
      <c r="G6" s="58"/>
      <c r="H6" s="58"/>
      <c r="I6" s="58"/>
      <c r="J6" s="58"/>
      <c r="K6" s="32"/>
      <c r="L6" s="32"/>
    </row>
    <row r="7" spans="1:12">
      <c r="A7" s="58"/>
      <c r="B7" s="58"/>
      <c r="C7" s="58"/>
      <c r="D7" s="58"/>
      <c r="E7" s="58"/>
      <c r="F7" s="58"/>
      <c r="G7" s="58"/>
      <c r="H7" s="58"/>
      <c r="I7" s="58"/>
      <c r="J7" s="58"/>
      <c r="K7" s="32"/>
      <c r="L7" s="32"/>
    </row>
    <row r="8" spans="1:12">
      <c r="A8" s="58"/>
      <c r="B8" s="58"/>
      <c r="C8" s="58"/>
      <c r="D8" s="58"/>
      <c r="E8" s="58"/>
      <c r="F8" s="58"/>
      <c r="G8" s="58"/>
      <c r="H8" s="58"/>
      <c r="I8" s="58"/>
      <c r="J8" s="58"/>
      <c r="K8" s="32"/>
      <c r="L8" s="32"/>
    </row>
    <row r="10" spans="1:12">
      <c r="A10" s="90" t="s">
        <v>347</v>
      </c>
      <c r="B10" s="91"/>
    </row>
    <row r="11" spans="1:12" ht="23.5">
      <c r="A11" s="91"/>
      <c r="B11" s="91"/>
      <c r="D11" s="80"/>
      <c r="E11" s="80"/>
      <c r="F11" s="80"/>
      <c r="G11" s="80"/>
    </row>
    <row r="12" spans="1:12" ht="23.5">
      <c r="A12" s="25" t="s">
        <v>315</v>
      </c>
      <c r="B12" s="26" t="s">
        <v>317</v>
      </c>
      <c r="C12" s="14"/>
      <c r="D12" s="27"/>
      <c r="E12" s="27"/>
      <c r="F12" s="27"/>
      <c r="G12" s="27"/>
      <c r="I12" s="9" t="s">
        <v>343</v>
      </c>
      <c r="J12" s="19"/>
    </row>
    <row r="13" spans="1:12">
      <c r="A13" s="60" t="s">
        <v>318</v>
      </c>
      <c r="B13" s="60">
        <f>COUNTA(#REF!)-1</f>
        <v>0</v>
      </c>
      <c r="C13" s="15"/>
      <c r="D13" s="24" t="s">
        <v>334</v>
      </c>
      <c r="E13" s="24" t="s">
        <v>335</v>
      </c>
      <c r="F13" s="24" t="s">
        <v>316</v>
      </c>
      <c r="G13" s="24" t="s">
        <v>317</v>
      </c>
      <c r="I13" s="6"/>
      <c r="J13" s="6"/>
    </row>
    <row r="14" spans="1:12" ht="18.5" customHeight="1">
      <c r="A14" s="60" t="s">
        <v>319</v>
      </c>
      <c r="B14" s="61">
        <f>AVERAGE(Clean_Data!F:F)</f>
        <v>76.606746575342498</v>
      </c>
      <c r="C14" s="15"/>
      <c r="D14" s="55" t="s">
        <v>336</v>
      </c>
      <c r="E14" s="55" t="s">
        <v>344</v>
      </c>
      <c r="F14" s="56" t="str">
        <f>TRIM(" Deluxe ")</f>
        <v>Deluxe</v>
      </c>
      <c r="G14" s="55" t="s">
        <v>11</v>
      </c>
      <c r="I14" s="25" t="s">
        <v>315</v>
      </c>
      <c r="J14" s="25" t="s">
        <v>317</v>
      </c>
    </row>
    <row r="15" spans="1:12" ht="14.5" customHeight="1">
      <c r="A15" s="60" t="s">
        <v>320</v>
      </c>
      <c r="B15" s="61">
        <f>AVERAGE(Clean_Data!E:E)</f>
        <v>5.8184931506849313</v>
      </c>
      <c r="C15" s="15"/>
      <c r="D15" s="55" t="s">
        <v>337</v>
      </c>
      <c r="E15" s="55" t="s">
        <v>62</v>
      </c>
      <c r="F15" s="56" t="str">
        <f>PROPER("RETURNING")</f>
        <v>Returning</v>
      </c>
      <c r="G15" s="55" t="s">
        <v>23</v>
      </c>
      <c r="I15" s="32" t="s">
        <v>331</v>
      </c>
      <c r="J15" s="63">
        <f>MIN(Clean_Data!B:B)</f>
        <v>45659</v>
      </c>
    </row>
    <row r="16" spans="1:12" ht="29">
      <c r="A16" s="60" t="s">
        <v>321</v>
      </c>
      <c r="B16" s="61">
        <f>MIN(Clean_Data!F:F)</f>
        <v>40.57</v>
      </c>
      <c r="D16" s="55" t="s">
        <v>338</v>
      </c>
      <c r="E16" s="55" t="s">
        <v>10</v>
      </c>
      <c r="F16" s="57" t="str">
        <f>UPPER("Completed")</f>
        <v>COMPLETED</v>
      </c>
      <c r="G16" s="55" t="s">
        <v>339</v>
      </c>
      <c r="I16" s="32" t="s">
        <v>332</v>
      </c>
      <c r="J16" s="63">
        <f>MAX(Clean_Data!B:B)</f>
        <v>46234</v>
      </c>
    </row>
    <row r="17" spans="1:12">
      <c r="A17" s="60" t="s">
        <v>322</v>
      </c>
      <c r="B17" s="62">
        <f>MAX(Clean_Data!F:F)</f>
        <v>525</v>
      </c>
      <c r="D17" s="55" t="s">
        <v>340</v>
      </c>
      <c r="E17" s="55" t="s">
        <v>341</v>
      </c>
      <c r="F17" s="56" t="str">
        <f>LOWER("SUITE")</f>
        <v>suite</v>
      </c>
      <c r="G17" s="55" t="s">
        <v>342</v>
      </c>
      <c r="I17" s="32" t="s">
        <v>333</v>
      </c>
      <c r="J17" s="76" t="str">
        <f>TEXT(MIN(Clean_Data!B:B),"mmm yyyy")&amp;" to "&amp;TEXT(MAX(Clean_Data!B:B),"mmm yyyy")</f>
        <v>Jan 2025 to Jul 2026</v>
      </c>
    </row>
    <row r="18" spans="1:12">
      <c r="A18" s="60" t="s">
        <v>323</v>
      </c>
      <c r="B18" s="62">
        <f>COUNTIF(Clean_Data!G:G,"Completed")</f>
        <v>158</v>
      </c>
      <c r="D18" s="77"/>
      <c r="E18" s="77"/>
      <c r="F18" s="78"/>
      <c r="G18" s="77"/>
      <c r="H18" s="79"/>
      <c r="I18" s="79"/>
      <c r="J18" s="79"/>
    </row>
    <row r="19" spans="1:12" ht="23" customHeight="1">
      <c r="A19" s="60" t="s">
        <v>324</v>
      </c>
      <c r="B19" s="62">
        <f>COUNTIF(Clean_Data!G:G,"Cancelled")</f>
        <v>55</v>
      </c>
      <c r="D19" s="79"/>
      <c r="E19" s="79"/>
      <c r="F19" s="79"/>
      <c r="G19" s="79"/>
      <c r="H19" s="79"/>
      <c r="I19" s="79"/>
      <c r="J19" s="79"/>
    </row>
    <row r="20" spans="1:12">
      <c r="A20" s="60" t="s">
        <v>325</v>
      </c>
      <c r="B20" s="62">
        <f>COUNTIF(Clean_Data!G:G,"Confirmed")</f>
        <v>58</v>
      </c>
    </row>
    <row r="21" spans="1:12">
      <c r="A21" s="60" t="s">
        <v>326</v>
      </c>
      <c r="B21" s="62">
        <f>COUNTIF(Clean_Data!G:G,"No-Show")</f>
        <v>21</v>
      </c>
    </row>
    <row r="22" spans="1:12">
      <c r="A22" s="60" t="s">
        <v>327</v>
      </c>
      <c r="B22" s="61">
        <v>22369.17</v>
      </c>
    </row>
    <row r="23" spans="1:12">
      <c r="A23" s="60" t="s">
        <v>328</v>
      </c>
      <c r="B23" s="61">
        <f>SUMIF(Clean_Data!G:G,"Completed",Clean_Data!F:F)</f>
        <v>11872.069999999996</v>
      </c>
    </row>
    <row r="24" spans="1:12">
      <c r="A24" s="60" t="s">
        <v>329</v>
      </c>
      <c r="B24" s="61">
        <f>AVERAGEIF(Clean_Data!G:G,"Completed",Clean_Data!F:F)</f>
        <v>75.139683544303779</v>
      </c>
    </row>
    <row r="25" spans="1:12">
      <c r="A25" s="60" t="s">
        <v>330</v>
      </c>
      <c r="B25" s="60" t="str">
        <f>IF(COUNTIF(Clean_Data!G:G,"Completed")&gt;150,"High Bookings","Low Bookings")</f>
        <v>High Bookings</v>
      </c>
      <c r="L25" s="16"/>
    </row>
    <row r="26" spans="1:12">
      <c r="L26" s="16"/>
    </row>
    <row r="27" spans="1:12" ht="33">
      <c r="A27" s="88" t="s">
        <v>391</v>
      </c>
      <c r="B27" s="88" t="s">
        <v>392</v>
      </c>
      <c r="L27" s="11"/>
    </row>
    <row r="28" spans="1:12" ht="16.5">
      <c r="A28" s="89" t="s">
        <v>0</v>
      </c>
      <c r="B28" s="89">
        <v>15</v>
      </c>
    </row>
    <row r="29" spans="1:12" ht="16.5">
      <c r="A29" s="89" t="s">
        <v>1</v>
      </c>
      <c r="B29" s="89">
        <v>17</v>
      </c>
    </row>
    <row r="30" spans="1:12" ht="16.5">
      <c r="A30" s="89" t="s">
        <v>2</v>
      </c>
      <c r="B30" s="89">
        <v>16</v>
      </c>
    </row>
    <row r="31" spans="1:12" ht="16.5">
      <c r="A31" s="89" t="s">
        <v>3</v>
      </c>
      <c r="B31" s="89">
        <v>16</v>
      </c>
    </row>
    <row r="32" spans="1:12" ht="16.5">
      <c r="A32" s="89" t="s">
        <v>4</v>
      </c>
      <c r="B32" s="89">
        <v>16</v>
      </c>
    </row>
    <row r="33" spans="1:2" ht="16.5">
      <c r="A33" s="89" t="s">
        <v>5</v>
      </c>
      <c r="B33" s="89">
        <v>17</v>
      </c>
    </row>
    <row r="34" spans="1:2" ht="16.5">
      <c r="A34" s="89" t="s">
        <v>6</v>
      </c>
      <c r="B34" s="89">
        <v>18</v>
      </c>
    </row>
  </sheetData>
  <mergeCells count="1">
    <mergeCell ref="A10:B11"/>
  </mergeCells>
  <pageMargins left="0.7" right="0.7" top="0.75" bottom="0.75" header="0.3" footer="0.3"/>
  <pageSetup orientation="portrait" r:id="rId1"/>
  <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AF0-D7BB-4C84-AF63-4A58C861CA96}">
  <dimension ref="A1:V55"/>
  <sheetViews>
    <sheetView showGridLines="0" zoomScale="44" zoomScaleNormal="40" workbookViewId="0">
      <selection activeCell="AB37" sqref="AB37"/>
    </sheetView>
  </sheetViews>
  <sheetFormatPr defaultRowHeight="14.5"/>
  <cols>
    <col min="1" max="1" width="14.7265625" bestFit="1" customWidth="1"/>
    <col min="2" max="2" width="17.81640625" bestFit="1" customWidth="1"/>
    <col min="3" max="3" width="8.7265625" customWidth="1"/>
    <col min="10" max="10" width="14.7265625" bestFit="1" customWidth="1"/>
    <col min="11" max="11" width="16.6328125" bestFit="1" customWidth="1"/>
    <col min="20" max="20" width="51.81640625" bestFit="1" customWidth="1"/>
  </cols>
  <sheetData>
    <row r="1" spans="1:22">
      <c r="A1" s="92"/>
      <c r="B1" s="91"/>
      <c r="C1" s="91"/>
      <c r="D1" s="91"/>
      <c r="E1" s="91"/>
      <c r="F1" s="91"/>
      <c r="G1" s="91"/>
      <c r="H1" s="91"/>
      <c r="I1" s="91"/>
      <c r="J1" s="91"/>
      <c r="K1" s="91"/>
      <c r="L1" s="91"/>
      <c r="M1" s="91"/>
      <c r="N1" s="4"/>
      <c r="O1" s="4"/>
      <c r="P1" s="4"/>
      <c r="Q1" s="4"/>
    </row>
    <row r="2" spans="1:22">
      <c r="A2" s="91"/>
      <c r="B2" s="91"/>
      <c r="C2" s="91"/>
      <c r="D2" s="91"/>
      <c r="E2" s="91"/>
      <c r="F2" s="91"/>
      <c r="G2" s="91"/>
      <c r="H2" s="91"/>
      <c r="I2" s="91"/>
      <c r="J2" s="91"/>
      <c r="K2" s="91"/>
      <c r="L2" s="91"/>
      <c r="M2" s="91"/>
      <c r="N2" s="4"/>
      <c r="O2" s="4"/>
      <c r="P2" s="4"/>
      <c r="Q2" s="4"/>
      <c r="T2" s="95" t="s">
        <v>361</v>
      </c>
      <c r="U2" s="91"/>
      <c r="V2" s="91"/>
    </row>
    <row r="3" spans="1:22">
      <c r="A3" s="91"/>
      <c r="B3" s="91"/>
      <c r="C3" s="91"/>
      <c r="D3" s="91"/>
      <c r="E3" s="91"/>
      <c r="F3" s="91"/>
      <c r="G3" s="91"/>
      <c r="H3" s="91"/>
      <c r="I3" s="91"/>
      <c r="J3" s="91"/>
      <c r="K3" s="91"/>
      <c r="L3" s="91"/>
      <c r="M3" s="91"/>
      <c r="N3" s="4"/>
      <c r="O3" s="4"/>
      <c r="P3" s="4"/>
      <c r="Q3" s="4"/>
      <c r="T3" s="91"/>
      <c r="U3" s="91"/>
      <c r="V3" s="91"/>
    </row>
    <row r="5" spans="1:22" ht="21">
      <c r="A5" s="93" t="s">
        <v>356</v>
      </c>
      <c r="B5" s="91"/>
      <c r="J5" s="4"/>
      <c r="K5" s="28"/>
      <c r="T5" t="s">
        <v>362</v>
      </c>
    </row>
    <row r="6" spans="1:22" ht="15.5">
      <c r="A6" s="30"/>
      <c r="B6" s="6"/>
      <c r="J6" s="8"/>
      <c r="K6" s="8"/>
    </row>
    <row r="7" spans="1:22">
      <c r="A7" s="32" t="s">
        <v>348</v>
      </c>
      <c r="B7" s="32" t="s">
        <v>350</v>
      </c>
      <c r="C7" s="21"/>
      <c r="D7" s="21"/>
      <c r="E7" s="21"/>
      <c r="F7" s="21"/>
      <c r="G7" s="21"/>
      <c r="H7" s="21"/>
      <c r="I7" s="21"/>
      <c r="J7" s="32" t="s">
        <v>348</v>
      </c>
      <c r="K7" s="32" t="s">
        <v>352</v>
      </c>
      <c r="L7" s="21"/>
      <c r="M7" s="21"/>
      <c r="N7" s="21"/>
      <c r="O7" s="21"/>
      <c r="P7" s="21"/>
      <c r="Q7" s="21"/>
      <c r="T7" t="s">
        <v>363</v>
      </c>
    </row>
    <row r="8" spans="1:22">
      <c r="A8" s="22" t="s">
        <v>19</v>
      </c>
      <c r="B8" s="23">
        <v>10</v>
      </c>
      <c r="J8" s="22" t="s">
        <v>11</v>
      </c>
      <c r="K8" s="23">
        <v>11</v>
      </c>
    </row>
    <row r="9" spans="1:22">
      <c r="A9" s="22" t="s">
        <v>10</v>
      </c>
      <c r="B9" s="23">
        <v>30</v>
      </c>
      <c r="J9" s="22" t="s">
        <v>44</v>
      </c>
      <c r="K9" s="23">
        <v>9</v>
      </c>
      <c r="T9" t="s">
        <v>364</v>
      </c>
    </row>
    <row r="10" spans="1:22">
      <c r="A10" s="22" t="s">
        <v>13</v>
      </c>
      <c r="B10" s="23">
        <v>14</v>
      </c>
      <c r="J10" s="22" t="s">
        <v>8</v>
      </c>
      <c r="K10" s="23">
        <v>24</v>
      </c>
    </row>
    <row r="11" spans="1:22">
      <c r="A11" s="22" t="s">
        <v>29</v>
      </c>
      <c r="B11" s="23">
        <v>3</v>
      </c>
      <c r="J11" s="22" t="s">
        <v>18</v>
      </c>
      <c r="K11" s="23">
        <v>13</v>
      </c>
    </row>
    <row r="12" spans="1:22">
      <c r="A12" s="81" t="s">
        <v>349</v>
      </c>
      <c r="B12" s="82">
        <v>57</v>
      </c>
      <c r="J12" s="81" t="s">
        <v>349</v>
      </c>
      <c r="K12" s="82">
        <v>57</v>
      </c>
    </row>
    <row r="16" spans="1:22">
      <c r="J16" s="31" t="s">
        <v>360</v>
      </c>
      <c r="K16" s="8"/>
    </row>
    <row r="17" spans="1:11" ht="21">
      <c r="A17" s="8" t="s">
        <v>358</v>
      </c>
      <c r="B17" s="29" t="s">
        <v>359</v>
      </c>
      <c r="J17" s="86"/>
      <c r="K17" s="86"/>
    </row>
    <row r="18" spans="1:11">
      <c r="A18" s="91"/>
      <c r="B18" s="91"/>
      <c r="J18" s="32" t="s">
        <v>348</v>
      </c>
      <c r="K18" s="32" t="s">
        <v>354</v>
      </c>
    </row>
    <row r="19" spans="1:11">
      <c r="A19" s="32" t="s">
        <v>348</v>
      </c>
      <c r="B19" s="32" t="s">
        <v>353</v>
      </c>
      <c r="J19" s="22" t="s">
        <v>11</v>
      </c>
      <c r="K19" s="13">
        <v>76.406363636363636</v>
      </c>
    </row>
    <row r="20" spans="1:11">
      <c r="A20" s="22" t="s">
        <v>15</v>
      </c>
      <c r="B20" s="23">
        <v>57</v>
      </c>
      <c r="J20" s="22" t="s">
        <v>44</v>
      </c>
      <c r="K20" s="13">
        <v>110.8311111111111</v>
      </c>
    </row>
    <row r="21" spans="1:11">
      <c r="A21" s="81" t="s">
        <v>349</v>
      </c>
      <c r="B21" s="82">
        <v>57</v>
      </c>
      <c r="J21" s="22" t="s">
        <v>8</v>
      </c>
      <c r="K21" s="13">
        <v>47.782083333333325</v>
      </c>
    </row>
    <row r="22" spans="1:11">
      <c r="J22" s="22" t="s">
        <v>18</v>
      </c>
      <c r="K22" s="13">
        <v>125.44</v>
      </c>
    </row>
    <row r="23" spans="1:11">
      <c r="J23" s="81" t="s">
        <v>349</v>
      </c>
      <c r="K23" s="84">
        <v>80.972631578947372</v>
      </c>
    </row>
    <row r="26" spans="1:11">
      <c r="A26" s="94" t="s">
        <v>357</v>
      </c>
      <c r="B26" s="91"/>
      <c r="J26" s="4"/>
      <c r="K26" s="4"/>
    </row>
    <row r="27" spans="1:11">
      <c r="A27" s="91"/>
      <c r="B27" s="91"/>
      <c r="J27" s="4"/>
      <c r="K27" s="4"/>
    </row>
    <row r="28" spans="1:11">
      <c r="A28" s="32" t="s">
        <v>348</v>
      </c>
      <c r="B28" s="32" t="s">
        <v>355</v>
      </c>
      <c r="J28" s="32" t="s">
        <v>348</v>
      </c>
      <c r="K28" s="32" t="s">
        <v>350</v>
      </c>
    </row>
    <row r="29" spans="1:11">
      <c r="A29" s="22" t="s">
        <v>15</v>
      </c>
      <c r="B29" s="5">
        <v>4.8484210526315792</v>
      </c>
      <c r="J29" s="22" t="s">
        <v>19</v>
      </c>
      <c r="K29" s="23">
        <v>10</v>
      </c>
    </row>
    <row r="30" spans="1:11">
      <c r="A30" s="81" t="s">
        <v>349</v>
      </c>
      <c r="B30" s="83">
        <v>4.8484210526315792</v>
      </c>
      <c r="J30" s="22" t="s">
        <v>10</v>
      </c>
      <c r="K30" s="23">
        <v>30</v>
      </c>
    </row>
    <row r="31" spans="1:11">
      <c r="J31" s="22" t="s">
        <v>13</v>
      </c>
      <c r="K31" s="23">
        <v>14</v>
      </c>
    </row>
    <row r="32" spans="1:11">
      <c r="J32" s="22" t="s">
        <v>29</v>
      </c>
      <c r="K32" s="23">
        <v>3</v>
      </c>
    </row>
    <row r="33" spans="1:11">
      <c r="J33" s="81" t="s">
        <v>349</v>
      </c>
      <c r="K33" s="82">
        <v>57</v>
      </c>
    </row>
    <row r="37" spans="1:11">
      <c r="A37" s="4"/>
      <c r="B37" s="4"/>
      <c r="J37" s="4"/>
      <c r="K37" s="4"/>
    </row>
    <row r="38" spans="1:11">
      <c r="A38" s="4"/>
      <c r="B38" s="4"/>
      <c r="J38" s="4"/>
      <c r="K38" s="4"/>
    </row>
    <row r="39" spans="1:11">
      <c r="A39" s="32" t="s">
        <v>348</v>
      </c>
      <c r="B39" s="32" t="s">
        <v>351</v>
      </c>
      <c r="J39" s="32" t="s">
        <v>348</v>
      </c>
      <c r="K39" s="32" t="s">
        <v>354</v>
      </c>
    </row>
    <row r="40" spans="1:11">
      <c r="A40" s="22" t="s">
        <v>19</v>
      </c>
      <c r="B40" s="12">
        <v>862.20999999999992</v>
      </c>
      <c r="J40" s="22" t="s">
        <v>11</v>
      </c>
      <c r="K40" s="5">
        <v>76.406363636363636</v>
      </c>
    </row>
    <row r="41" spans="1:11">
      <c r="A41" s="22" t="s">
        <v>10</v>
      </c>
      <c r="B41" s="12">
        <v>2490.0800000000004</v>
      </c>
      <c r="J41" s="22" t="s">
        <v>44</v>
      </c>
      <c r="K41" s="5">
        <v>110.8311111111111</v>
      </c>
    </row>
    <row r="42" spans="1:11">
      <c r="A42" s="22" t="s">
        <v>13</v>
      </c>
      <c r="B42" s="12">
        <v>977.02</v>
      </c>
      <c r="J42" s="22" t="s">
        <v>8</v>
      </c>
      <c r="K42" s="5">
        <v>47.782083333333325</v>
      </c>
    </row>
    <row r="43" spans="1:11">
      <c r="A43" s="22" t="s">
        <v>29</v>
      </c>
      <c r="B43" s="12">
        <v>286.13</v>
      </c>
      <c r="J43" s="22" t="s">
        <v>18</v>
      </c>
      <c r="K43" s="5">
        <v>125.44</v>
      </c>
    </row>
    <row r="44" spans="1:11">
      <c r="A44" s="81" t="s">
        <v>349</v>
      </c>
      <c r="B44" s="85">
        <v>4615.4400000000005</v>
      </c>
      <c r="J44" s="81" t="s">
        <v>349</v>
      </c>
      <c r="K44" s="83">
        <v>80.972631578947372</v>
      </c>
    </row>
    <row r="48" spans="1:11">
      <c r="A48" s="4"/>
      <c r="B48" s="4"/>
    </row>
    <row r="49" spans="1:11">
      <c r="A49" s="4"/>
      <c r="B49" s="4"/>
      <c r="J49" s="4"/>
      <c r="K49" s="4"/>
    </row>
    <row r="50" spans="1:11">
      <c r="A50" s="32" t="s">
        <v>348</v>
      </c>
      <c r="B50" s="32" t="s">
        <v>351</v>
      </c>
      <c r="J50" s="4"/>
      <c r="K50" s="4"/>
    </row>
    <row r="51" spans="1:11">
      <c r="A51" s="22" t="s">
        <v>19</v>
      </c>
      <c r="B51" s="12">
        <v>862.20999999999992</v>
      </c>
      <c r="J51" s="32" t="s">
        <v>348</v>
      </c>
      <c r="K51" s="32" t="s">
        <v>355</v>
      </c>
    </row>
    <row r="52" spans="1:11">
      <c r="A52" s="22" t="s">
        <v>10</v>
      </c>
      <c r="B52" s="12">
        <v>2490.0800000000004</v>
      </c>
      <c r="J52" s="22" t="s">
        <v>15</v>
      </c>
      <c r="K52" s="5">
        <v>4.8484210526315792</v>
      </c>
    </row>
    <row r="53" spans="1:11">
      <c r="A53" s="22" t="s">
        <v>13</v>
      </c>
      <c r="B53" s="12">
        <v>977.02</v>
      </c>
      <c r="J53" s="81" t="s">
        <v>349</v>
      </c>
      <c r="K53" s="83">
        <v>4.8484210526315792</v>
      </c>
    </row>
    <row r="54" spans="1:11">
      <c r="A54" s="22" t="s">
        <v>29</v>
      </c>
      <c r="B54" s="12">
        <v>286.13</v>
      </c>
    </row>
    <row r="55" spans="1:11">
      <c r="A55" s="81" t="s">
        <v>349</v>
      </c>
      <c r="B55" s="85">
        <v>4615.4400000000005</v>
      </c>
    </row>
  </sheetData>
  <mergeCells count="5">
    <mergeCell ref="A1:M3"/>
    <mergeCell ref="A5:B5"/>
    <mergeCell ref="A18:B18"/>
    <mergeCell ref="A26:B27"/>
    <mergeCell ref="T2:V3"/>
  </mergeCells>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1EBA-A322-4777-948B-43EEF1FE07AF}">
  <dimension ref="A1:P47"/>
  <sheetViews>
    <sheetView showGridLines="0" zoomScale="51" zoomScaleNormal="115" workbookViewId="0">
      <selection sqref="A1:XFD1048576"/>
    </sheetView>
  </sheetViews>
  <sheetFormatPr defaultRowHeight="14.5"/>
  <cols>
    <col min="12" max="12" width="14.453125" customWidth="1"/>
  </cols>
  <sheetData>
    <row r="1" spans="1:16">
      <c r="A1" s="91"/>
      <c r="B1" s="91"/>
      <c r="C1" s="91"/>
      <c r="D1" s="91"/>
      <c r="E1" s="91"/>
      <c r="F1" s="91"/>
      <c r="G1" s="91"/>
      <c r="H1" s="91"/>
      <c r="I1" s="91"/>
      <c r="J1" s="91"/>
      <c r="K1" s="91"/>
      <c r="L1" s="91"/>
      <c r="M1" s="4"/>
      <c r="N1" s="4"/>
      <c r="O1" s="4"/>
    </row>
    <row r="2" spans="1:16">
      <c r="A2" s="91"/>
      <c r="B2" s="91"/>
      <c r="C2" s="91"/>
      <c r="D2" s="91"/>
      <c r="E2" s="91"/>
      <c r="F2" s="91"/>
      <c r="G2" s="91"/>
      <c r="H2" s="91"/>
      <c r="I2" s="91"/>
      <c r="J2" s="91"/>
      <c r="K2" s="91"/>
      <c r="L2" s="91"/>
      <c r="M2" s="4"/>
      <c r="N2" s="4"/>
      <c r="O2" s="4"/>
    </row>
    <row r="3" spans="1:16">
      <c r="A3" s="91"/>
      <c r="B3" s="91"/>
      <c r="C3" s="91"/>
      <c r="D3" s="91"/>
      <c r="E3" s="91"/>
      <c r="F3" s="91"/>
      <c r="G3" s="91"/>
      <c r="H3" s="91"/>
      <c r="I3" s="91"/>
      <c r="J3" s="91"/>
      <c r="K3" s="91"/>
      <c r="L3" s="91"/>
      <c r="M3" s="4"/>
      <c r="N3" s="4"/>
      <c r="O3" s="4"/>
    </row>
    <row r="4" spans="1:16">
      <c r="A4" s="91"/>
      <c r="B4" s="91"/>
      <c r="C4" s="91"/>
      <c r="D4" s="91"/>
      <c r="E4" s="91"/>
      <c r="F4" s="91"/>
      <c r="G4" s="91"/>
      <c r="H4" s="91"/>
      <c r="I4" s="91"/>
      <c r="J4" s="91"/>
      <c r="K4" s="91"/>
      <c r="L4" s="91"/>
      <c r="M4" s="4"/>
      <c r="N4" s="4"/>
      <c r="O4" s="4"/>
    </row>
    <row r="5" spans="1:16">
      <c r="A5" s="6"/>
      <c r="B5" s="6"/>
      <c r="C5" s="6"/>
      <c r="D5" s="6"/>
      <c r="E5" s="6"/>
      <c r="F5" s="6"/>
      <c r="G5" s="6"/>
      <c r="H5" s="6"/>
      <c r="I5" s="6"/>
      <c r="J5" s="6"/>
      <c r="K5" s="6"/>
      <c r="L5" s="6"/>
      <c r="M5" s="4"/>
      <c r="N5" s="4"/>
      <c r="O5" s="4"/>
    </row>
    <row r="6" spans="1:16">
      <c r="A6" s="33"/>
      <c r="B6" s="33"/>
      <c r="C6" s="33"/>
      <c r="D6" s="33"/>
      <c r="E6" s="33"/>
      <c r="F6" s="33"/>
      <c r="G6" s="33"/>
      <c r="H6" s="33"/>
      <c r="I6" s="33"/>
      <c r="J6" s="33"/>
      <c r="K6" s="33"/>
      <c r="L6" s="33"/>
      <c r="M6" s="33"/>
      <c r="N6" s="33"/>
      <c r="O6" s="33"/>
    </row>
    <row r="7" spans="1:16">
      <c r="A7" s="33"/>
      <c r="B7" s="33"/>
      <c r="C7" s="33"/>
      <c r="D7" s="33"/>
      <c r="E7" s="33"/>
      <c r="F7" s="33"/>
      <c r="G7" s="33"/>
      <c r="H7" s="33"/>
      <c r="I7" s="33"/>
      <c r="J7" s="33"/>
      <c r="K7" s="33"/>
      <c r="L7" s="33"/>
      <c r="M7" s="33"/>
      <c r="N7" s="33"/>
      <c r="O7" s="33"/>
    </row>
    <row r="8" spans="1:16">
      <c r="A8" s="33"/>
      <c r="B8" s="33"/>
      <c r="C8" s="33"/>
      <c r="D8" s="33"/>
      <c r="E8" s="33"/>
      <c r="F8" s="33"/>
      <c r="G8" s="33"/>
      <c r="H8" s="33"/>
      <c r="I8" s="33"/>
      <c r="J8" s="33"/>
      <c r="K8" s="33"/>
      <c r="L8" s="33"/>
      <c r="M8" s="33"/>
      <c r="N8" s="33"/>
      <c r="O8" s="33"/>
    </row>
    <row r="9" spans="1:16">
      <c r="A9" s="33"/>
      <c r="B9" s="33"/>
      <c r="C9" s="33"/>
      <c r="D9" s="33"/>
      <c r="E9" s="33"/>
      <c r="F9" s="33"/>
      <c r="G9" s="33"/>
      <c r="H9" s="33"/>
      <c r="I9" s="33"/>
      <c r="J9" s="33"/>
      <c r="K9" s="33"/>
      <c r="L9" s="33"/>
      <c r="M9" s="33"/>
      <c r="N9" s="33"/>
      <c r="O9" s="33"/>
      <c r="P9" s="18"/>
    </row>
    <row r="10" spans="1:16">
      <c r="A10" s="33"/>
      <c r="B10" s="33"/>
      <c r="C10" s="33"/>
      <c r="D10" s="33"/>
      <c r="E10" s="33"/>
      <c r="F10" s="33"/>
      <c r="G10" s="33"/>
      <c r="H10" s="33"/>
      <c r="I10" s="33"/>
      <c r="J10" s="33"/>
      <c r="K10" s="33"/>
      <c r="L10" s="33"/>
      <c r="M10" s="33"/>
      <c r="N10" s="33"/>
      <c r="O10" s="33"/>
    </row>
    <row r="11" spans="1:16">
      <c r="A11" s="18"/>
      <c r="B11" s="18"/>
      <c r="M11" s="18"/>
    </row>
    <row r="12" spans="1:16">
      <c r="A12" s="4"/>
      <c r="B12" s="4"/>
    </row>
    <row r="13" spans="1:16">
      <c r="A13" s="4"/>
      <c r="B13" s="4"/>
    </row>
    <row r="14" spans="1:16">
      <c r="A14" s="4"/>
      <c r="B14" s="4"/>
    </row>
    <row r="15" spans="1:16">
      <c r="A15" s="4"/>
      <c r="B15" s="4"/>
    </row>
    <row r="16" spans="1:16">
      <c r="A16" s="4"/>
      <c r="B16" s="4"/>
    </row>
    <row r="17" spans="1:2">
      <c r="A17" s="4"/>
      <c r="B17" s="4"/>
    </row>
    <row r="18" spans="1:2">
      <c r="A18" s="4"/>
      <c r="B18" s="4"/>
    </row>
    <row r="19" spans="1:2">
      <c r="A19" s="4"/>
      <c r="B19" s="4"/>
    </row>
    <row r="20" spans="1:2">
      <c r="A20" s="4"/>
      <c r="B20" s="4"/>
    </row>
    <row r="21" spans="1:2">
      <c r="A21" s="4"/>
      <c r="B21" s="4"/>
    </row>
    <row r="22" spans="1:2">
      <c r="A22" s="4"/>
      <c r="B22" s="4"/>
    </row>
    <row r="23" spans="1:2">
      <c r="A23" s="4"/>
      <c r="B23" s="4"/>
    </row>
    <row r="24" spans="1:2">
      <c r="A24" s="4"/>
      <c r="B24" s="4"/>
    </row>
    <row r="25" spans="1:2">
      <c r="A25" s="4"/>
      <c r="B25" s="4"/>
    </row>
    <row r="26" spans="1:2">
      <c r="A26" s="4"/>
      <c r="B26" s="4"/>
    </row>
    <row r="27" spans="1:2">
      <c r="A27" s="4"/>
      <c r="B27" s="4"/>
    </row>
    <row r="28" spans="1:2">
      <c r="A28" s="4"/>
      <c r="B28" s="4"/>
    </row>
    <row r="29" spans="1:2">
      <c r="A29" s="4"/>
      <c r="B29" s="4"/>
    </row>
    <row r="30" spans="1:2">
      <c r="A30" s="4"/>
      <c r="B30" s="4"/>
    </row>
    <row r="31" spans="1:2">
      <c r="A31" s="4"/>
      <c r="B31" s="4"/>
    </row>
    <row r="32" spans="1:2">
      <c r="A32" s="4"/>
      <c r="B32" s="4"/>
    </row>
    <row r="33" spans="1:13">
      <c r="A33" s="4"/>
      <c r="B33" s="4"/>
    </row>
    <row r="34" spans="1:13">
      <c r="A34" s="4"/>
      <c r="B34" s="4"/>
    </row>
    <row r="35" spans="1:13">
      <c r="A35" s="4"/>
      <c r="B35" s="4"/>
    </row>
    <row r="36" spans="1:13">
      <c r="A36" s="4"/>
      <c r="B36" s="4"/>
    </row>
    <row r="37" spans="1:13">
      <c r="A37" s="4"/>
      <c r="B37" s="4"/>
      <c r="J37" s="91"/>
      <c r="K37" s="91"/>
      <c r="L37" s="91"/>
      <c r="M37" s="91"/>
    </row>
    <row r="38" spans="1:13">
      <c r="A38" s="4"/>
      <c r="B38" s="4"/>
      <c r="J38" s="91"/>
      <c r="K38" s="91"/>
      <c r="L38" s="91"/>
      <c r="M38" s="91"/>
    </row>
    <row r="39" spans="1:13">
      <c r="A39" s="4"/>
      <c r="B39" s="4"/>
    </row>
    <row r="40" spans="1:13">
      <c r="A40" s="4"/>
      <c r="B40" s="4"/>
      <c r="J40" t="s">
        <v>365</v>
      </c>
    </row>
    <row r="41" spans="1:13">
      <c r="A41" s="4"/>
      <c r="B41" s="4"/>
    </row>
    <row r="42" spans="1:13">
      <c r="A42" s="4"/>
      <c r="B42" s="4"/>
      <c r="J42" t="s">
        <v>366</v>
      </c>
    </row>
    <row r="43" spans="1:13">
      <c r="A43" s="4"/>
      <c r="B43" s="4"/>
    </row>
    <row r="44" spans="1:13">
      <c r="A44" s="18"/>
      <c r="B44" s="18"/>
      <c r="J44" t="s">
        <v>367</v>
      </c>
    </row>
    <row r="45" spans="1:13">
      <c r="A45" s="18"/>
      <c r="B45" s="18"/>
    </row>
    <row r="46" spans="1:13">
      <c r="A46" s="18"/>
      <c r="B46" s="18"/>
    </row>
    <row r="47" spans="1:13">
      <c r="A47" s="18"/>
      <c r="B47" s="18"/>
    </row>
  </sheetData>
  <mergeCells count="2">
    <mergeCell ref="A1:L4"/>
    <mergeCell ref="J37:M3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7BC1-F1EA-421C-A2F6-97E6180E15A6}">
  <dimension ref="A1:O45"/>
  <sheetViews>
    <sheetView showGridLines="0" zoomScale="43" zoomScaleNormal="70" workbookViewId="0">
      <selection activeCell="W47" sqref="W47"/>
    </sheetView>
  </sheetViews>
  <sheetFormatPr defaultRowHeight="14.5"/>
  <sheetData>
    <row r="1" spans="1:15">
      <c r="A1" s="91"/>
      <c r="B1" s="91"/>
      <c r="C1" s="91"/>
      <c r="D1" s="91"/>
      <c r="E1" s="91"/>
      <c r="F1" s="91"/>
      <c r="G1" s="91"/>
      <c r="H1" s="91"/>
      <c r="I1" s="91"/>
      <c r="J1" s="91"/>
      <c r="K1" s="91"/>
      <c r="L1" s="91"/>
      <c r="M1" s="4"/>
      <c r="N1" s="4"/>
      <c r="O1" s="4"/>
    </row>
    <row r="2" spans="1:15">
      <c r="A2" s="91"/>
      <c r="B2" s="91"/>
      <c r="C2" s="91"/>
      <c r="D2" s="91"/>
      <c r="E2" s="91"/>
      <c r="F2" s="91"/>
      <c r="G2" s="91"/>
      <c r="H2" s="91"/>
      <c r="I2" s="91"/>
      <c r="J2" s="91"/>
      <c r="K2" s="91"/>
      <c r="L2" s="91"/>
      <c r="M2" s="4"/>
      <c r="N2" s="4"/>
      <c r="O2" s="4"/>
    </row>
    <row r="3" spans="1:15">
      <c r="A3" s="91"/>
      <c r="B3" s="91"/>
      <c r="C3" s="91"/>
      <c r="D3" s="91"/>
      <c r="E3" s="91"/>
      <c r="F3" s="91"/>
      <c r="G3" s="91"/>
      <c r="H3" s="91"/>
      <c r="I3" s="91"/>
      <c r="J3" s="91"/>
      <c r="K3" s="91"/>
      <c r="L3" s="91"/>
      <c r="M3" s="4"/>
      <c r="N3" s="4"/>
      <c r="O3" s="4"/>
    </row>
    <row r="4" spans="1:15">
      <c r="A4" s="91"/>
      <c r="B4" s="91"/>
      <c r="C4" s="91"/>
      <c r="D4" s="91"/>
      <c r="E4" s="91"/>
      <c r="F4" s="91"/>
      <c r="G4" s="91"/>
      <c r="H4" s="91"/>
      <c r="I4" s="91"/>
      <c r="J4" s="91"/>
      <c r="K4" s="91"/>
      <c r="L4" s="91"/>
      <c r="M4" s="4"/>
      <c r="N4" s="4"/>
      <c r="O4" s="4"/>
    </row>
    <row r="5" spans="1:15">
      <c r="A5" s="6"/>
      <c r="B5" s="6"/>
      <c r="C5" s="6"/>
      <c r="D5" s="6"/>
      <c r="E5" s="6"/>
      <c r="F5" s="6"/>
      <c r="G5" s="6"/>
      <c r="H5" s="6"/>
      <c r="I5" s="6"/>
      <c r="J5" s="6"/>
      <c r="K5" s="6"/>
      <c r="L5" s="6"/>
      <c r="M5" s="4"/>
      <c r="N5" s="4"/>
      <c r="O5" s="4"/>
    </row>
    <row r="6" spans="1:15">
      <c r="A6" s="33"/>
      <c r="B6" s="33"/>
      <c r="C6" s="33"/>
      <c r="D6" s="33"/>
      <c r="E6" s="33"/>
      <c r="F6" s="33"/>
      <c r="G6" s="33"/>
      <c r="H6" s="33"/>
      <c r="I6" s="33"/>
      <c r="J6" s="33"/>
      <c r="K6" s="33"/>
      <c r="L6" s="33"/>
      <c r="M6" s="33"/>
      <c r="N6" s="33"/>
      <c r="O6" s="33"/>
    </row>
    <row r="7" spans="1:15">
      <c r="A7" s="33"/>
      <c r="B7" s="33"/>
      <c r="C7" s="33"/>
      <c r="D7" s="33"/>
      <c r="E7" s="33"/>
      <c r="F7" s="33"/>
      <c r="G7" s="33"/>
      <c r="H7" s="33"/>
      <c r="I7" s="33"/>
      <c r="J7" s="33"/>
      <c r="K7" s="33"/>
      <c r="L7" s="33"/>
      <c r="M7" s="33"/>
      <c r="N7" s="33"/>
      <c r="O7" s="33"/>
    </row>
    <row r="8" spans="1:15">
      <c r="A8" s="33"/>
      <c r="B8" s="33"/>
      <c r="C8" s="33"/>
      <c r="D8" s="33"/>
      <c r="E8" s="33"/>
      <c r="F8" s="33"/>
      <c r="G8" s="33"/>
      <c r="H8" s="33"/>
      <c r="I8" s="33"/>
      <c r="J8" s="33"/>
      <c r="K8" s="33"/>
      <c r="L8" s="33"/>
      <c r="M8" s="33"/>
      <c r="N8" s="33"/>
      <c r="O8" s="33"/>
    </row>
    <row r="9" spans="1:15">
      <c r="A9" s="33"/>
      <c r="B9" s="33"/>
      <c r="C9" s="33"/>
      <c r="D9" s="33"/>
      <c r="E9" s="33"/>
      <c r="F9" s="33"/>
      <c r="G9" s="33"/>
      <c r="H9" s="33"/>
      <c r="I9" s="33"/>
      <c r="J9" s="33"/>
      <c r="K9" s="33"/>
      <c r="L9" s="33"/>
      <c r="M9" s="33"/>
      <c r="N9" s="33"/>
      <c r="O9" s="33"/>
    </row>
    <row r="10" spans="1:15">
      <c r="A10" s="33"/>
      <c r="B10" s="33"/>
      <c r="C10" s="33"/>
      <c r="D10" s="33"/>
      <c r="E10" s="33"/>
      <c r="F10" s="33"/>
      <c r="G10" s="33"/>
      <c r="H10" s="33"/>
      <c r="I10" s="33"/>
      <c r="J10" s="33"/>
      <c r="K10" s="33"/>
      <c r="L10" s="33"/>
      <c r="M10" s="33"/>
      <c r="N10" s="33"/>
      <c r="O10" s="33"/>
    </row>
    <row r="12" spans="1:15">
      <c r="A12" s="4"/>
      <c r="B12" s="4"/>
    </row>
    <row r="13" spans="1:15">
      <c r="A13" s="4"/>
      <c r="B13" s="4"/>
    </row>
    <row r="14" spans="1:15">
      <c r="A14" s="4"/>
      <c r="B14" s="4"/>
    </row>
    <row r="15" spans="1:15">
      <c r="A15" s="4"/>
      <c r="B15" s="4"/>
    </row>
    <row r="16" spans="1:15">
      <c r="A16" s="4"/>
      <c r="B16" s="4"/>
    </row>
    <row r="17" spans="1:2">
      <c r="A17" s="4"/>
      <c r="B17" s="4"/>
    </row>
    <row r="18" spans="1:2">
      <c r="A18" s="4"/>
      <c r="B18" s="4"/>
    </row>
    <row r="19" spans="1:2">
      <c r="A19" s="4"/>
      <c r="B19" s="4"/>
    </row>
    <row r="20" spans="1:2">
      <c r="A20" s="4"/>
      <c r="B20" s="4"/>
    </row>
    <row r="21" spans="1:2">
      <c r="A21" s="4"/>
      <c r="B21" s="4"/>
    </row>
    <row r="22" spans="1:2">
      <c r="A22" s="4"/>
      <c r="B22" s="4"/>
    </row>
    <row r="23" spans="1:2">
      <c r="A23" s="4"/>
      <c r="B23" s="4"/>
    </row>
    <row r="24" spans="1:2">
      <c r="A24" s="4"/>
      <c r="B24" s="4"/>
    </row>
    <row r="25" spans="1:2">
      <c r="A25" s="4"/>
      <c r="B25" s="4"/>
    </row>
    <row r="26" spans="1:2">
      <c r="A26" s="4"/>
      <c r="B26" s="4"/>
    </row>
    <row r="27" spans="1:2">
      <c r="A27" s="4"/>
      <c r="B27" s="4"/>
    </row>
    <row r="28" spans="1:2">
      <c r="A28" s="4"/>
      <c r="B28" s="4"/>
    </row>
    <row r="29" spans="1:2">
      <c r="A29" s="4"/>
      <c r="B29" s="4"/>
    </row>
    <row r="30" spans="1:2">
      <c r="A30" s="4"/>
      <c r="B30" s="4"/>
    </row>
    <row r="31" spans="1:2">
      <c r="A31" s="4"/>
      <c r="B31" s="4"/>
    </row>
    <row r="32" spans="1:2">
      <c r="A32" s="4"/>
      <c r="B32" s="4"/>
    </row>
    <row r="33" spans="1:13">
      <c r="A33" s="4"/>
      <c r="B33" s="4"/>
    </row>
    <row r="34" spans="1:13">
      <c r="A34" s="4"/>
      <c r="B34" s="4"/>
    </row>
    <row r="35" spans="1:13">
      <c r="A35" s="4"/>
      <c r="B35" s="4"/>
    </row>
    <row r="36" spans="1:13">
      <c r="A36" s="4"/>
      <c r="B36" s="4"/>
    </row>
    <row r="37" spans="1:13">
      <c r="A37" s="4"/>
      <c r="B37" s="4"/>
    </row>
    <row r="38" spans="1:13">
      <c r="A38" s="4"/>
      <c r="B38" s="4"/>
    </row>
    <row r="39" spans="1:13">
      <c r="A39" s="4"/>
      <c r="B39" s="4"/>
      <c r="J39" s="66"/>
      <c r="K39" s="66"/>
      <c r="L39" s="66"/>
      <c r="M39" s="66"/>
    </row>
    <row r="40" spans="1:13">
      <c r="A40" s="4"/>
      <c r="B40" s="4"/>
      <c r="J40" s="66"/>
      <c r="K40" s="66"/>
      <c r="L40" s="66"/>
      <c r="M40" s="66"/>
    </row>
    <row r="41" spans="1:13">
      <c r="A41" s="4"/>
      <c r="B41" s="4"/>
      <c r="J41" t="s">
        <v>379</v>
      </c>
    </row>
    <row r="42" spans="1:13">
      <c r="A42" s="4"/>
      <c r="B42" s="4"/>
    </row>
    <row r="43" spans="1:13">
      <c r="J43" t="s">
        <v>380</v>
      </c>
    </row>
    <row r="45" spans="1:13">
      <c r="J45" t="s">
        <v>381</v>
      </c>
    </row>
  </sheetData>
  <mergeCells count="1">
    <mergeCell ref="A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22B0-8B0C-4DDA-9F7A-F3D1EF76EF03}">
  <dimension ref="A1:L21"/>
  <sheetViews>
    <sheetView showGridLines="0" zoomScale="57" zoomScaleNormal="80" workbookViewId="0">
      <selection activeCell="F8" sqref="F8"/>
    </sheetView>
  </sheetViews>
  <sheetFormatPr defaultRowHeight="14.5"/>
  <cols>
    <col min="1" max="1" width="110.36328125" bestFit="1" customWidth="1"/>
  </cols>
  <sheetData>
    <row r="1" spans="1:12">
      <c r="A1" s="4"/>
      <c r="B1" s="4"/>
      <c r="C1" s="4"/>
      <c r="D1" s="4"/>
      <c r="E1" s="4"/>
      <c r="F1" s="4"/>
      <c r="G1" s="4"/>
      <c r="H1" s="4"/>
      <c r="I1" s="4"/>
    </row>
    <row r="2" spans="1:12" s="35" customFormat="1" ht="23.5">
      <c r="A2" s="96" t="s">
        <v>371</v>
      </c>
      <c r="B2" s="97"/>
      <c r="C2" s="97"/>
      <c r="D2" s="97"/>
      <c r="E2" s="97"/>
      <c r="F2" s="97"/>
      <c r="G2" s="97"/>
      <c r="H2" s="68"/>
      <c r="I2" s="67"/>
    </row>
    <row r="3" spans="1:12" s="35" customFormat="1" ht="17.5">
      <c r="A3" s="44"/>
      <c r="B3" s="44"/>
      <c r="C3" s="44"/>
      <c r="D3" s="44"/>
      <c r="E3" s="44"/>
      <c r="F3" s="44"/>
      <c r="G3" s="44"/>
      <c r="H3" s="67"/>
      <c r="I3" s="67"/>
    </row>
    <row r="4" spans="1:12" s="46" customFormat="1" ht="17.5">
      <c r="A4" s="45"/>
      <c r="B4" s="45"/>
      <c r="C4" s="45"/>
      <c r="D4" s="45"/>
      <c r="E4" s="45"/>
      <c r="F4" s="45"/>
      <c r="G4" s="45"/>
    </row>
    <row r="5" spans="1:12" s="35" customFormat="1" ht="26">
      <c r="A5" s="73" t="s">
        <v>368</v>
      </c>
      <c r="B5" s="49"/>
      <c r="C5" s="49"/>
      <c r="D5" s="49"/>
      <c r="E5" s="49"/>
      <c r="F5" s="49"/>
      <c r="G5" s="49"/>
      <c r="H5" s="50"/>
      <c r="I5" s="70"/>
    </row>
    <row r="6" spans="1:12" s="35" customFormat="1" ht="18.5">
      <c r="A6" s="36"/>
      <c r="B6" s="36"/>
      <c r="C6" s="36"/>
      <c r="D6" s="37"/>
      <c r="E6" s="37"/>
      <c r="F6" s="37"/>
      <c r="G6" s="37"/>
      <c r="H6" s="38"/>
      <c r="L6"/>
    </row>
    <row r="7" spans="1:12" s="34" customFormat="1" ht="18.5">
      <c r="A7" s="42" t="s">
        <v>370</v>
      </c>
      <c r="B7" s="39"/>
      <c r="C7" s="39"/>
      <c r="D7"/>
      <c r="E7"/>
      <c r="F7" s="40"/>
      <c r="G7" s="40"/>
      <c r="H7" s="41"/>
      <c r="I7" s="41"/>
      <c r="J7"/>
    </row>
    <row r="8" spans="1:12" s="34" customFormat="1" ht="18.5">
      <c r="A8" s="42" t="s">
        <v>372</v>
      </c>
      <c r="B8" s="39"/>
      <c r="C8" s="39"/>
      <c r="D8" s="40"/>
      <c r="E8" s="40"/>
      <c r="F8" s="40"/>
      <c r="G8" s="40"/>
      <c r="H8" s="41"/>
      <c r="I8" s="41"/>
    </row>
    <row r="9" spans="1:12" s="34" customFormat="1" ht="18.5">
      <c r="A9" s="42" t="s">
        <v>373</v>
      </c>
      <c r="B9" s="39"/>
      <c r="C9" s="39"/>
      <c r="D9" s="40"/>
      <c r="E9" s="40"/>
      <c r="F9" s="40"/>
      <c r="G9" s="40"/>
      <c r="H9" s="41"/>
      <c r="I9" s="41"/>
    </row>
    <row r="10" spans="1:12" s="34" customFormat="1" ht="18.5">
      <c r="A10" s="42" t="s">
        <v>374</v>
      </c>
      <c r="B10" s="39"/>
      <c r="C10" s="39"/>
      <c r="D10" s="40"/>
      <c r="E10" s="40"/>
      <c r="F10" s="40"/>
      <c r="G10" s="40"/>
      <c r="H10" s="41"/>
      <c r="I10" s="41"/>
      <c r="L10"/>
    </row>
    <row r="11" spans="1:12" s="34" customFormat="1" ht="18.5">
      <c r="A11" s="42" t="s">
        <v>375</v>
      </c>
      <c r="B11" s="39"/>
      <c r="C11" s="39"/>
      <c r="D11" s="40"/>
      <c r="E11" s="40"/>
      <c r="F11" s="40"/>
      <c r="G11" s="40"/>
      <c r="H11" s="41"/>
      <c r="I11" s="41"/>
    </row>
    <row r="12" spans="1:12" s="34" customFormat="1" ht="18.5">
      <c r="A12" s="42"/>
      <c r="C12" s="39"/>
      <c r="D12" s="40"/>
      <c r="E12" s="40"/>
      <c r="F12" s="40"/>
      <c r="G12" s="40"/>
      <c r="H12" s="41"/>
      <c r="I12" s="41"/>
    </row>
    <row r="13" spans="1:12" s="34" customFormat="1" ht="23.5">
      <c r="A13" s="72" t="s">
        <v>369</v>
      </c>
      <c r="B13" s="47"/>
      <c r="C13" s="47"/>
      <c r="D13" s="47"/>
      <c r="E13" s="47"/>
      <c r="F13" s="47"/>
      <c r="G13" s="47"/>
      <c r="H13" s="48"/>
      <c r="I13" s="71"/>
      <c r="J13" s="71"/>
    </row>
    <row r="14" spans="1:12" s="54" customFormat="1" ht="23.5">
      <c r="A14" s="51"/>
      <c r="B14" s="52"/>
      <c r="C14" s="52"/>
      <c r="D14" s="52"/>
      <c r="E14" s="52"/>
      <c r="F14" s="52"/>
      <c r="G14" s="52"/>
      <c r="H14" s="53"/>
    </row>
    <row r="15" spans="1:12" s="34" customFormat="1" ht="18.5">
      <c r="A15" s="42" t="s">
        <v>382</v>
      </c>
      <c r="B15" s="40"/>
      <c r="C15" s="40"/>
      <c r="D15" s="40"/>
      <c r="E15" s="40"/>
      <c r="F15" s="40"/>
      <c r="G15" s="40"/>
      <c r="H15" s="41"/>
    </row>
    <row r="16" spans="1:12" s="34" customFormat="1" ht="18.5">
      <c r="A16" s="42" t="s">
        <v>376</v>
      </c>
      <c r="B16"/>
      <c r="C16" s="40"/>
      <c r="D16" s="40"/>
      <c r="E16" s="40"/>
      <c r="F16" s="40"/>
      <c r="G16" s="40"/>
      <c r="H16" s="41"/>
    </row>
    <row r="17" spans="1:8" s="34" customFormat="1" ht="18.5">
      <c r="A17" s="42" t="s">
        <v>377</v>
      </c>
      <c r="B17" s="40"/>
      <c r="C17" s="40"/>
      <c r="D17" s="40"/>
      <c r="E17" s="40"/>
      <c r="F17" s="40"/>
      <c r="G17" s="40"/>
      <c r="H17" s="41"/>
    </row>
    <row r="18" spans="1:8" s="34" customFormat="1" ht="18.5">
      <c r="A18" s="69" t="s">
        <v>378</v>
      </c>
      <c r="B18" s="40"/>
      <c r="C18" s="40"/>
      <c r="D18" s="40"/>
      <c r="E18" s="40"/>
      <c r="F18" s="40"/>
      <c r="G18" s="40"/>
      <c r="H18" s="41"/>
    </row>
    <row r="19" spans="1:8">
      <c r="A19" s="43"/>
      <c r="B19" s="43"/>
      <c r="C19" s="43"/>
      <c r="D19" s="43"/>
      <c r="E19" s="43"/>
      <c r="F19" s="43"/>
      <c r="G19" s="43"/>
      <c r="H19" s="43"/>
    </row>
    <row r="20" spans="1:8">
      <c r="A20" s="43"/>
      <c r="B20" s="43"/>
      <c r="C20" s="43"/>
      <c r="D20" s="43"/>
      <c r="E20" s="43"/>
      <c r="F20" s="43"/>
      <c r="G20" s="43"/>
      <c r="H20" s="43"/>
    </row>
    <row r="21" spans="1:8">
      <c r="B21" s="43"/>
      <c r="C21" s="43"/>
      <c r="D21" s="43"/>
      <c r="E21" s="43"/>
      <c r="F21" s="43"/>
      <c r="G21" s="43"/>
      <c r="H21" s="43"/>
    </row>
  </sheetData>
  <mergeCells count="1">
    <mergeCell ref="A2:G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Clean_Data</vt:lpstr>
      <vt:lpstr>Analysis</vt:lpstr>
      <vt:lpstr>Pivot_table</vt:lpstr>
      <vt:lpstr>Dashboard 1</vt:lpstr>
      <vt:lpstr> Dashboard 2</vt:lpstr>
      <vt:lpstr>Finding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Miski Maxamed Cabdullaahi</dc:creator>
  <cp:lastModifiedBy>Miski Maxamed Cabdullaahi</cp:lastModifiedBy>
  <dcterms:created xsi:type="dcterms:W3CDTF">2026-08-17T13:16:15Z</dcterms:created>
  <dcterms:modified xsi:type="dcterms:W3CDTF">2026-09-01T14:56:03Z</dcterms:modified>
</cp:coreProperties>
</file>